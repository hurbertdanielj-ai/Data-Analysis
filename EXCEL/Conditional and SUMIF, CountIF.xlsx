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6B792A8-F410-491E-B301-A511133301EC}" xr6:coauthVersionLast="47" xr6:coauthVersionMax="47" xr10:uidLastSave="{00000000-0000-0000-0000-000000000000}"/>
  <bookViews>
    <workbookView xWindow="-108" yWindow="-108" windowWidth="23256" windowHeight="13176" xr2:uid="{DF155F24-8EC5-4F58-A144-E4A2BC243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G23" i="1"/>
  <c r="G22" i="1"/>
  <c r="G21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</calcChain>
</file>

<file path=xl/sharedStrings.xml><?xml version="1.0" encoding="utf-8"?>
<sst xmlns="http://schemas.openxmlformats.org/spreadsheetml/2006/main" count="65" uniqueCount="40">
  <si>
    <t>Conditional operators:</t>
  </si>
  <si>
    <t>Student_ID</t>
  </si>
  <si>
    <t>Student_Name</t>
  </si>
  <si>
    <t>Department</t>
  </si>
  <si>
    <t>Attendance</t>
  </si>
  <si>
    <t>Marks</t>
  </si>
  <si>
    <t>Fee_Status</t>
  </si>
  <si>
    <t>Arun</t>
  </si>
  <si>
    <t>CS</t>
  </si>
  <si>
    <t>Paid</t>
  </si>
  <si>
    <t>Priya</t>
  </si>
  <si>
    <t>IT</t>
  </si>
  <si>
    <t>Pending</t>
  </si>
  <si>
    <t>Rahul</t>
  </si>
  <si>
    <t>Meena</t>
  </si>
  <si>
    <t>ECE</t>
  </si>
  <si>
    <t>Kavin</t>
  </si>
  <si>
    <t>Divya</t>
  </si>
  <si>
    <t>Surya</t>
  </si>
  <si>
    <t>Anu</t>
  </si>
  <si>
    <t>Vignesh</t>
  </si>
  <si>
    <t>Keerthi</t>
  </si>
  <si>
    <t>Hari</t>
  </si>
  <si>
    <t>Nisha</t>
  </si>
  <si>
    <t>Ajay</t>
  </si>
  <si>
    <t>Ram</t>
  </si>
  <si>
    <t>Sneha</t>
  </si>
  <si>
    <t xml:space="preserve">Pass Or Fail </t>
  </si>
  <si>
    <t>Attendance_eligibility</t>
  </si>
  <si>
    <t>Fees_payment status</t>
  </si>
  <si>
    <t>Grade</t>
  </si>
  <si>
    <t>Scholarship</t>
  </si>
  <si>
    <t>Count Passed students</t>
  </si>
  <si>
    <t>Students passed in CS Dept</t>
  </si>
  <si>
    <t>Attendance Above 80</t>
  </si>
  <si>
    <t>Countif()</t>
  </si>
  <si>
    <t>Sumif()</t>
  </si>
  <si>
    <t>Total Marks of CS Students</t>
  </si>
  <si>
    <t>Total Attendance of IT Students</t>
  </si>
  <si>
    <t>Total Marks Above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</si>
</sst>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8B54-8AB3-4F14-B31D-A4889971ECDB}">
  <dimension ref="A1:K23"/>
  <sheetViews>
    <sheetView tabSelected="1" workbookViewId="0">
      <selection activeCell="I24" sqref="I24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11.109375" bestFit="1" customWidth="1"/>
    <col min="4" max="4" width="10.77734375" bestFit="1" customWidth="1"/>
    <col min="5" max="5" width="6.21875" bestFit="1" customWidth="1"/>
    <col min="6" max="6" width="10.109375" bestFit="1" customWidth="1"/>
    <col min="7" max="7" width="10.77734375" bestFit="1" customWidth="1"/>
    <col min="8" max="8" width="19.44140625" bestFit="1" customWidth="1"/>
    <col min="9" max="9" width="18.6640625" bestFit="1" customWidth="1"/>
    <col min="11" max="11" width="14.109375" bestFit="1" customWidth="1"/>
  </cols>
  <sheetData>
    <row r="1" spans="1:11" ht="18" x14ac:dyDescent="0.35">
      <c r="A1" s="10" t="s">
        <v>0</v>
      </c>
      <c r="B1" s="10"/>
      <c r="C1" s="10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3">
      <c r="A4" s="1">
        <v>101</v>
      </c>
      <c r="B4" s="1" t="s">
        <v>7</v>
      </c>
      <c r="C4" s="1" t="s">
        <v>8</v>
      </c>
      <c r="D4" s="1">
        <v>95</v>
      </c>
      <c r="E4" s="1">
        <v>92</v>
      </c>
      <c r="F4" s="1" t="s">
        <v>9</v>
      </c>
      <c r="G4" t="str">
        <f>IF(D4&gt;=50,"Pass","Fail")</f>
        <v>Pass</v>
      </c>
      <c r="H4" t="str">
        <f>IF(D4&gt;=75,"Eligible","not eligible")</f>
        <v>Eligible</v>
      </c>
      <c r="I4" t="str">
        <f>IF(F4="Paid","Allowed","Not Allowed")</f>
        <v>Allowed</v>
      </c>
      <c r="J4" t="str">
        <f>IF(E4&gt;=90,"A",IF(E4&gt;=75,"B",IF(E4&gt;=50,"C","Fail")))</f>
        <v>A</v>
      </c>
      <c r="K4" t="str">
        <f>IF(E2&gt;=90,"Full Scholarship",
IF(E2&gt;=75,"Half Scholarship",
IF(E2&gt;=50,"No Scholarship","Not Eligible")))</f>
        <v>Not Eligible</v>
      </c>
    </row>
    <row r="5" spans="1:11" x14ac:dyDescent="0.3">
      <c r="A5" s="1">
        <v>102</v>
      </c>
      <c r="B5" s="1" t="s">
        <v>10</v>
      </c>
      <c r="C5" s="1" t="s">
        <v>11</v>
      </c>
      <c r="D5" s="1">
        <v>88</v>
      </c>
      <c r="E5" s="1">
        <v>76</v>
      </c>
      <c r="F5" s="1" t="s">
        <v>12</v>
      </c>
      <c r="G5" t="str">
        <f t="shared" ref="G5:G18" si="0">IF(D5&gt;=50,"Pass","Fail")</f>
        <v>Pass</v>
      </c>
      <c r="H5" t="str">
        <f>IF(D5&gt;=75,"Eligible","not eligible")</f>
        <v>Eligible</v>
      </c>
      <c r="I5" t="str">
        <f t="shared" ref="I5:I18" si="1">IF(F5="Paid","Allowed","Not Allowed")</f>
        <v>Not Allowed</v>
      </c>
      <c r="J5" t="str">
        <f t="shared" ref="J5:J18" si="2">IF(E5&gt;=90,"A",IF(E5&gt;=75,"B",IF(E5&gt;=50,"C","Fail")))</f>
        <v>B</v>
      </c>
      <c r="K5" t="str">
        <f t="shared" ref="K5:K18" si="3">IF(E3&gt;=90,"Full Scholarship",
IF(E3&gt;=75,"Half Scholarship",
IF(E3&gt;=50,"No Scholarship","Not Eligible")))</f>
        <v>Full Scholarship</v>
      </c>
    </row>
    <row r="6" spans="1:11" x14ac:dyDescent="0.3">
      <c r="A6" s="1">
        <v>103</v>
      </c>
      <c r="B6" s="1" t="s">
        <v>13</v>
      </c>
      <c r="C6" s="1" t="s">
        <v>8</v>
      </c>
      <c r="D6" s="1">
        <v>67</v>
      </c>
      <c r="E6" s="1">
        <v>45</v>
      </c>
      <c r="F6" s="1" t="s">
        <v>9</v>
      </c>
      <c r="G6" t="str">
        <f t="shared" si="0"/>
        <v>Pass</v>
      </c>
      <c r="H6" t="str">
        <f t="shared" ref="H6:H18" si="4">IF(D6&gt;=75,"Eligible","not eligible")</f>
        <v>not eligible</v>
      </c>
      <c r="I6" t="str">
        <f t="shared" si="1"/>
        <v>Allowed</v>
      </c>
      <c r="J6" t="str">
        <f t="shared" si="2"/>
        <v>Fail</v>
      </c>
      <c r="K6" t="str">
        <f t="shared" si="3"/>
        <v>Full Scholarship</v>
      </c>
    </row>
    <row r="7" spans="1:11" x14ac:dyDescent="0.3">
      <c r="A7" s="1">
        <v>104</v>
      </c>
      <c r="B7" s="1" t="s">
        <v>14</v>
      </c>
      <c r="C7" s="1" t="s">
        <v>15</v>
      </c>
      <c r="D7" s="1">
        <v>45</v>
      </c>
      <c r="E7" s="1">
        <v>32</v>
      </c>
      <c r="F7" s="1" t="s">
        <v>12</v>
      </c>
      <c r="G7" t="str">
        <f t="shared" si="0"/>
        <v>Fail</v>
      </c>
      <c r="H7" t="str">
        <f t="shared" si="4"/>
        <v>not eligible</v>
      </c>
      <c r="I7" t="str">
        <f t="shared" si="1"/>
        <v>Not Allowed</v>
      </c>
      <c r="J7" t="str">
        <f t="shared" si="2"/>
        <v>Fail</v>
      </c>
      <c r="K7" t="str">
        <f t="shared" si="3"/>
        <v>Half Scholarship</v>
      </c>
    </row>
    <row r="8" spans="1:11" x14ac:dyDescent="0.3">
      <c r="A8" s="1">
        <v>105</v>
      </c>
      <c r="B8" s="1" t="s">
        <v>16</v>
      </c>
      <c r="C8" s="1" t="s">
        <v>11</v>
      </c>
      <c r="D8" s="1">
        <v>91</v>
      </c>
      <c r="E8" s="1">
        <v>85</v>
      </c>
      <c r="F8" s="1" t="s">
        <v>9</v>
      </c>
      <c r="G8" t="str">
        <f t="shared" si="0"/>
        <v>Pass</v>
      </c>
      <c r="H8" t="str">
        <f t="shared" si="4"/>
        <v>Eligible</v>
      </c>
      <c r="I8" t="str">
        <f t="shared" si="1"/>
        <v>Allowed</v>
      </c>
      <c r="J8" t="str">
        <f t="shared" si="2"/>
        <v>B</v>
      </c>
      <c r="K8" t="str">
        <f t="shared" si="3"/>
        <v>Not Eligible</v>
      </c>
    </row>
    <row r="9" spans="1:11" x14ac:dyDescent="0.3">
      <c r="A9" s="1">
        <v>106</v>
      </c>
      <c r="B9" s="1" t="s">
        <v>17</v>
      </c>
      <c r="C9" s="1" t="s">
        <v>8</v>
      </c>
      <c r="D9" s="1">
        <v>73</v>
      </c>
      <c r="E9" s="1">
        <v>68</v>
      </c>
      <c r="F9" s="1" t="s">
        <v>9</v>
      </c>
      <c r="G9" t="str">
        <f t="shared" si="0"/>
        <v>Pass</v>
      </c>
      <c r="H9" t="str">
        <f t="shared" si="4"/>
        <v>not eligible</v>
      </c>
      <c r="I9" t="str">
        <f t="shared" si="1"/>
        <v>Allowed</v>
      </c>
      <c r="J9" t="str">
        <f t="shared" si="2"/>
        <v>C</v>
      </c>
      <c r="K9" t="str">
        <f t="shared" si="3"/>
        <v>Not Eligible</v>
      </c>
    </row>
    <row r="10" spans="1:11" x14ac:dyDescent="0.3">
      <c r="A10" s="1">
        <v>107</v>
      </c>
      <c r="B10" s="1" t="s">
        <v>18</v>
      </c>
      <c r="C10" s="1" t="s">
        <v>15</v>
      </c>
      <c r="D10" s="1">
        <v>82</v>
      </c>
      <c r="E10" s="1">
        <v>59</v>
      </c>
      <c r="F10" s="1" t="s">
        <v>12</v>
      </c>
      <c r="G10" t="str">
        <f t="shared" si="0"/>
        <v>Pass</v>
      </c>
      <c r="H10" t="str">
        <f t="shared" si="4"/>
        <v>Eligible</v>
      </c>
      <c r="I10" t="str">
        <f t="shared" si="1"/>
        <v>Not Allowed</v>
      </c>
      <c r="J10" t="str">
        <f t="shared" si="2"/>
        <v>C</v>
      </c>
      <c r="K10" t="str">
        <f t="shared" si="3"/>
        <v>Half Scholarship</v>
      </c>
    </row>
    <row r="11" spans="1:11" x14ac:dyDescent="0.3">
      <c r="A11" s="1">
        <v>108</v>
      </c>
      <c r="B11" s="1" t="s">
        <v>19</v>
      </c>
      <c r="C11" s="1" t="s">
        <v>11</v>
      </c>
      <c r="D11" s="1">
        <v>98</v>
      </c>
      <c r="E11" s="1">
        <v>97</v>
      </c>
      <c r="F11" s="1" t="s">
        <v>9</v>
      </c>
      <c r="G11" t="str">
        <f t="shared" si="0"/>
        <v>Pass</v>
      </c>
      <c r="H11" t="str">
        <f t="shared" si="4"/>
        <v>Eligible</v>
      </c>
      <c r="I11" t="str">
        <f t="shared" si="1"/>
        <v>Allowed</v>
      </c>
      <c r="J11" t="str">
        <f t="shared" si="2"/>
        <v>A</v>
      </c>
      <c r="K11" t="str">
        <f t="shared" si="3"/>
        <v>No Scholarship</v>
      </c>
    </row>
    <row r="12" spans="1:11" x14ac:dyDescent="0.3">
      <c r="A12" s="1">
        <v>109</v>
      </c>
      <c r="B12" s="1" t="s">
        <v>20</v>
      </c>
      <c r="C12" s="1" t="s">
        <v>8</v>
      </c>
      <c r="D12" s="1">
        <v>55</v>
      </c>
      <c r="E12" s="1">
        <v>40</v>
      </c>
      <c r="F12" s="1" t="s">
        <v>12</v>
      </c>
      <c r="G12" t="str">
        <f t="shared" si="0"/>
        <v>Pass</v>
      </c>
      <c r="H12" t="str">
        <f t="shared" si="4"/>
        <v>not eligible</v>
      </c>
      <c r="I12" t="str">
        <f t="shared" si="1"/>
        <v>Not Allowed</v>
      </c>
      <c r="J12" t="str">
        <f t="shared" si="2"/>
        <v>Fail</v>
      </c>
      <c r="K12" t="str">
        <f t="shared" si="3"/>
        <v>No Scholarship</v>
      </c>
    </row>
    <row r="13" spans="1:11" x14ac:dyDescent="0.3">
      <c r="A13" s="1">
        <v>110</v>
      </c>
      <c r="B13" s="1" t="s">
        <v>21</v>
      </c>
      <c r="C13" s="1" t="s">
        <v>15</v>
      </c>
      <c r="D13" s="1">
        <v>77</v>
      </c>
      <c r="E13" s="1">
        <v>72</v>
      </c>
      <c r="F13" s="1" t="s">
        <v>9</v>
      </c>
      <c r="G13" t="str">
        <f t="shared" si="0"/>
        <v>Pass</v>
      </c>
      <c r="H13" t="str">
        <f t="shared" si="4"/>
        <v>Eligible</v>
      </c>
      <c r="I13" t="str">
        <f t="shared" si="1"/>
        <v>Allowed</v>
      </c>
      <c r="J13" t="str">
        <f t="shared" si="2"/>
        <v>C</v>
      </c>
      <c r="K13" t="str">
        <f t="shared" si="3"/>
        <v>Full Scholarship</v>
      </c>
    </row>
    <row r="14" spans="1:11" x14ac:dyDescent="0.3">
      <c r="A14" s="1">
        <v>111</v>
      </c>
      <c r="B14" s="1" t="s">
        <v>22</v>
      </c>
      <c r="C14" s="1" t="s">
        <v>11</v>
      </c>
      <c r="D14" s="1">
        <v>69</v>
      </c>
      <c r="E14" s="1">
        <v>51</v>
      </c>
      <c r="F14" s="1" t="s">
        <v>9</v>
      </c>
      <c r="G14" t="str">
        <f t="shared" si="0"/>
        <v>Pass</v>
      </c>
      <c r="H14" t="str">
        <f t="shared" si="4"/>
        <v>not eligible</v>
      </c>
      <c r="I14" t="str">
        <f t="shared" si="1"/>
        <v>Allowed</v>
      </c>
      <c r="J14" t="str">
        <f t="shared" si="2"/>
        <v>C</v>
      </c>
      <c r="K14" t="str">
        <f t="shared" si="3"/>
        <v>Not Eligible</v>
      </c>
    </row>
    <row r="15" spans="1:11" x14ac:dyDescent="0.3">
      <c r="A15" s="1">
        <v>112</v>
      </c>
      <c r="B15" s="1" t="s">
        <v>23</v>
      </c>
      <c r="C15" s="1" t="s">
        <v>8</v>
      </c>
      <c r="D15" s="1">
        <v>84</v>
      </c>
      <c r="E15" s="1">
        <v>88</v>
      </c>
      <c r="F15" s="1" t="s">
        <v>12</v>
      </c>
      <c r="G15" t="str">
        <f t="shared" si="0"/>
        <v>Pass</v>
      </c>
      <c r="H15" t="str">
        <f t="shared" si="4"/>
        <v>Eligible</v>
      </c>
      <c r="I15" t="str">
        <f t="shared" si="1"/>
        <v>Not Allowed</v>
      </c>
      <c r="J15" t="str">
        <f t="shared" si="2"/>
        <v>B</v>
      </c>
      <c r="K15" t="str">
        <f t="shared" si="3"/>
        <v>No Scholarship</v>
      </c>
    </row>
    <row r="16" spans="1:11" x14ac:dyDescent="0.3">
      <c r="A16" s="1">
        <v>113</v>
      </c>
      <c r="B16" s="1" t="s">
        <v>24</v>
      </c>
      <c r="C16" s="1" t="s">
        <v>15</v>
      </c>
      <c r="D16" s="1">
        <v>92</v>
      </c>
      <c r="E16" s="1">
        <v>94</v>
      </c>
      <c r="F16" s="1" t="s">
        <v>9</v>
      </c>
      <c r="G16" t="str">
        <f t="shared" si="0"/>
        <v>Pass</v>
      </c>
      <c r="H16" t="str">
        <f t="shared" si="4"/>
        <v>Eligible</v>
      </c>
      <c r="I16" t="str">
        <f t="shared" si="1"/>
        <v>Allowed</v>
      </c>
      <c r="J16" t="str">
        <f t="shared" si="2"/>
        <v>A</v>
      </c>
      <c r="K16" t="str">
        <f t="shared" si="3"/>
        <v>No Scholarship</v>
      </c>
    </row>
    <row r="17" spans="1:11" x14ac:dyDescent="0.3">
      <c r="A17" s="1">
        <v>114</v>
      </c>
      <c r="B17" s="1" t="s">
        <v>25</v>
      </c>
      <c r="C17" s="1" t="s">
        <v>11</v>
      </c>
      <c r="D17" s="1">
        <v>49</v>
      </c>
      <c r="E17" s="1">
        <v>28</v>
      </c>
      <c r="F17" s="1" t="s">
        <v>12</v>
      </c>
      <c r="G17" t="str">
        <f t="shared" si="0"/>
        <v>Fail</v>
      </c>
      <c r="H17" t="str">
        <f t="shared" si="4"/>
        <v>not eligible</v>
      </c>
      <c r="I17" t="str">
        <f t="shared" si="1"/>
        <v>Not Allowed</v>
      </c>
      <c r="J17" t="str">
        <f t="shared" si="2"/>
        <v>Fail</v>
      </c>
      <c r="K17" t="str">
        <f t="shared" si="3"/>
        <v>Half Scholarship</v>
      </c>
    </row>
    <row r="18" spans="1:11" x14ac:dyDescent="0.3">
      <c r="A18" s="1">
        <v>115</v>
      </c>
      <c r="B18" s="1" t="s">
        <v>26</v>
      </c>
      <c r="C18" s="1" t="s">
        <v>8</v>
      </c>
      <c r="D18" s="1">
        <v>80</v>
      </c>
      <c r="E18" s="1">
        <v>61</v>
      </c>
      <c r="F18" s="1" t="s">
        <v>9</v>
      </c>
      <c r="G18" t="str">
        <f t="shared" si="0"/>
        <v>Pass</v>
      </c>
      <c r="H18" t="str">
        <f t="shared" si="4"/>
        <v>Eligible</v>
      </c>
      <c r="I18" t="str">
        <f t="shared" si="1"/>
        <v>Allowed</v>
      </c>
      <c r="J18" t="str">
        <f t="shared" si="2"/>
        <v>C</v>
      </c>
      <c r="K18" t="str">
        <f t="shared" si="3"/>
        <v>Full Scholarship</v>
      </c>
    </row>
    <row r="20" spans="1:11" x14ac:dyDescent="0.3">
      <c r="F20" s="7" t="s">
        <v>35</v>
      </c>
      <c r="H20" s="7" t="s">
        <v>36</v>
      </c>
    </row>
    <row r="21" spans="1:11" ht="43.2" x14ac:dyDescent="0.3">
      <c r="F21" s="4" t="s">
        <v>32</v>
      </c>
      <c r="G21">
        <f>COUNTIF(E4:E18,"&gt;=50")</f>
        <v>11</v>
      </c>
      <c r="H21" s="8" t="s">
        <v>37</v>
      </c>
      <c r="I21">
        <f>SUMIF(C4:C18,"CS",E4:E18)</f>
        <v>394</v>
      </c>
    </row>
    <row r="22" spans="1:11" ht="43.2" x14ac:dyDescent="0.3">
      <c r="F22" s="5" t="s">
        <v>33</v>
      </c>
      <c r="G22">
        <f>COUNTIF(C4:C18,"CS")</f>
        <v>6</v>
      </c>
      <c r="H22" s="4" t="s">
        <v>38</v>
      </c>
      <c r="I22">
        <f>SUMIF(C4:C18,"IT",D4:D18)</f>
        <v>395</v>
      </c>
    </row>
    <row r="23" spans="1:11" ht="43.2" x14ac:dyDescent="0.3">
      <c r="F23" s="6" t="s">
        <v>34</v>
      </c>
      <c r="G23">
        <f>COUNTIF(E4:E18,"&gt;80")</f>
        <v>5</v>
      </c>
      <c r="H23" s="9" t="s">
        <v>39</v>
      </c>
      <c r="I23">
        <f>SUMIF(E4:E18,"&lt;75")</f>
        <v>456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hurbert daniel</dc:creator>
  <cp:lastModifiedBy>hurbert daniel</cp:lastModifiedBy>
  <dcterms:created xsi:type="dcterms:W3CDTF">2026-05-14T11:15:29Z</dcterms:created>
  <dcterms:modified xsi:type="dcterms:W3CDTF">2026-05-17T11:13:18Z</dcterms:modified>
</cp:coreProperties>
</file>