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94431BFA-9895-4426-BE6D-4C1C335CB465}" xr6:coauthVersionLast="47" xr6:coauthVersionMax="47" xr10:uidLastSave="{00000000-0000-0000-0000-000000000000}"/>
  <bookViews>
    <workbookView xWindow="-108" yWindow="-108" windowWidth="23256" windowHeight="13176" xr2:uid="{3B3F1125-365D-47A6-A2F9-3D9632ED1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G15" i="1"/>
  <c r="J12" i="1"/>
  <c r="I12" i="1"/>
  <c r="H12" i="1"/>
  <c r="G12" i="1"/>
  <c r="J9" i="1"/>
  <c r="I9" i="1"/>
  <c r="H9" i="1"/>
  <c r="G9" i="1"/>
  <c r="J5" i="1"/>
  <c r="I5" i="1"/>
  <c r="H5" i="1"/>
  <c r="G5" i="1"/>
</calcChain>
</file>

<file path=xl/sharedStrings.xml><?xml version="1.0" encoding="utf-8"?>
<sst xmlns="http://schemas.openxmlformats.org/spreadsheetml/2006/main" count="85" uniqueCount="58">
  <si>
    <t>Math Operations</t>
  </si>
  <si>
    <t>Student_ID</t>
  </si>
  <si>
    <t>Student_Name</t>
  </si>
  <si>
    <t>Department</t>
  </si>
  <si>
    <t>Marks</t>
  </si>
  <si>
    <t>Attendance</t>
  </si>
  <si>
    <t>Fees</t>
  </si>
  <si>
    <t>Arun</t>
  </si>
  <si>
    <t>CS</t>
  </si>
  <si>
    <t>Priya</t>
  </si>
  <si>
    <t>IT</t>
  </si>
  <si>
    <t>Rahul</t>
  </si>
  <si>
    <t>Meena</t>
  </si>
  <si>
    <t>ECE</t>
  </si>
  <si>
    <t>Kavin</t>
  </si>
  <si>
    <t>Divya</t>
  </si>
  <si>
    <t>Hari</t>
  </si>
  <si>
    <t>Sneha</t>
  </si>
  <si>
    <t>Vignesh</t>
  </si>
  <si>
    <t>Ram</t>
  </si>
  <si>
    <t>Anu</t>
  </si>
  <si>
    <t>Surya</t>
  </si>
  <si>
    <t>Ajay</t>
  </si>
  <si>
    <t>Nisha</t>
  </si>
  <si>
    <t>Keerthi</t>
  </si>
  <si>
    <t>Dinesh</t>
  </si>
  <si>
    <t>Kavya</t>
  </si>
  <si>
    <t>Manoj</t>
  </si>
  <si>
    <t>Pooja</t>
  </si>
  <si>
    <t>Sanjay</t>
  </si>
  <si>
    <t>Deepa</t>
  </si>
  <si>
    <t>Gokul</t>
  </si>
  <si>
    <t>Reshma</t>
  </si>
  <si>
    <t>Arvind</t>
  </si>
  <si>
    <t>Lavanya</t>
  </si>
  <si>
    <t>Karthik</t>
  </si>
  <si>
    <t>Harini</t>
  </si>
  <si>
    <t>Naveen</t>
  </si>
  <si>
    <t>Aishwarya</t>
  </si>
  <si>
    <t>Bharath</t>
  </si>
  <si>
    <t>SUM()</t>
  </si>
  <si>
    <t>Total Marks</t>
  </si>
  <si>
    <t>AVG()</t>
  </si>
  <si>
    <t>Average</t>
  </si>
  <si>
    <t>Max()</t>
  </si>
  <si>
    <t>min()</t>
  </si>
  <si>
    <t>Highest marks</t>
  </si>
  <si>
    <t>Lowest mark</t>
  </si>
  <si>
    <t>COUNT()</t>
  </si>
  <si>
    <t>ROUND</t>
  </si>
  <si>
    <t>ROUNDUP</t>
  </si>
  <si>
    <t>ROUNDDOWN</t>
  </si>
  <si>
    <t>ABS</t>
  </si>
  <si>
    <t>POWER</t>
  </si>
  <si>
    <t>SQRT</t>
  </si>
  <si>
    <t>MOD</t>
  </si>
  <si>
    <t>INT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</si>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</sst>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EA1E-3F24-43BB-B4CD-9581E87245F6}">
  <dimension ref="A1:J34"/>
  <sheetViews>
    <sheetView tabSelected="1" workbookViewId="0">
      <selection activeCell="J15" sqref="J15"/>
    </sheetView>
  </sheetViews>
  <sheetFormatPr defaultRowHeight="14.4" x14ac:dyDescent="0.3"/>
  <cols>
    <col min="1" max="1" width="10.44140625" bestFit="1" customWidth="1"/>
    <col min="2" max="2" width="13.77734375" bestFit="1" customWidth="1"/>
    <col min="3" max="3" width="11.109375" bestFit="1" customWidth="1"/>
    <col min="4" max="4" width="6.21875" bestFit="1" customWidth="1"/>
    <col min="5" max="5" width="10.77734375" bestFit="1" customWidth="1"/>
    <col min="6" max="6" width="6" bestFit="1" customWidth="1"/>
    <col min="7" max="7" width="10.88671875" bestFit="1" customWidth="1"/>
    <col min="8" max="8" width="11" bestFit="1" customWidth="1"/>
    <col min="9" max="9" width="12.77734375" bestFit="1" customWidth="1"/>
    <col min="10" max="10" width="13.109375" bestFit="1" customWidth="1"/>
  </cols>
  <sheetData>
    <row r="1" spans="1:10" x14ac:dyDescent="0.3">
      <c r="A1" s="2" t="s">
        <v>0</v>
      </c>
      <c r="B1" s="1"/>
      <c r="C1" s="1"/>
      <c r="D1" s="1"/>
    </row>
    <row r="2" spans="1:10" x14ac:dyDescent="0.3">
      <c r="A2" s="1"/>
      <c r="B2" s="1"/>
      <c r="C2" s="1"/>
      <c r="D2" s="1"/>
    </row>
    <row r="3" spans="1:10" x14ac:dyDescent="0.3">
      <c r="G3" s="3" t="s">
        <v>40</v>
      </c>
      <c r="H3" s="6" t="s">
        <v>42</v>
      </c>
      <c r="I3" s="5" t="s">
        <v>44</v>
      </c>
      <c r="J3" s="7" t="s">
        <v>45</v>
      </c>
    </row>
    <row r="4" spans="1:10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41</v>
      </c>
      <c r="H4" s="3" t="s">
        <v>43</v>
      </c>
      <c r="I4" s="3" t="s">
        <v>46</v>
      </c>
      <c r="J4" s="5" t="s">
        <v>47</v>
      </c>
    </row>
    <row r="5" spans="1:10" x14ac:dyDescent="0.3">
      <c r="A5" s="4">
        <v>101</v>
      </c>
      <c r="B5" s="4" t="s">
        <v>7</v>
      </c>
      <c r="C5" s="4" t="s">
        <v>8</v>
      </c>
      <c r="D5" s="4">
        <v>92</v>
      </c>
      <c r="E5" s="4">
        <v>95</v>
      </c>
      <c r="F5" s="4">
        <v>25000</v>
      </c>
      <c r="G5">
        <f>SUM(D5:D34)</f>
        <v>2008</v>
      </c>
      <c r="H5">
        <f>AVERAGE(D5:D34)</f>
        <v>66.933333333333337</v>
      </c>
      <c r="I5">
        <f>MAX(D5:D34)</f>
        <v>98</v>
      </c>
      <c r="J5">
        <f>MIN(D5:D34)</f>
        <v>28</v>
      </c>
    </row>
    <row r="6" spans="1:10" x14ac:dyDescent="0.3">
      <c r="A6" s="4">
        <v>102</v>
      </c>
      <c r="B6" s="4" t="s">
        <v>9</v>
      </c>
      <c r="C6" s="4" t="s">
        <v>10</v>
      </c>
      <c r="D6" s="4">
        <v>45</v>
      </c>
      <c r="E6" s="4">
        <v>88</v>
      </c>
      <c r="F6" s="4">
        <v>18000</v>
      </c>
    </row>
    <row r="7" spans="1:10" x14ac:dyDescent="0.3">
      <c r="A7" s="4">
        <v>103</v>
      </c>
      <c r="B7" s="4" t="s">
        <v>11</v>
      </c>
      <c r="C7" s="4" t="s">
        <v>8</v>
      </c>
      <c r="D7" s="4">
        <v>67</v>
      </c>
      <c r="E7" s="4">
        <v>72</v>
      </c>
      <c r="F7" s="4">
        <v>22000</v>
      </c>
    </row>
    <row r="8" spans="1:10" x14ac:dyDescent="0.3">
      <c r="A8" s="4">
        <v>104</v>
      </c>
      <c r="B8" s="4" t="s">
        <v>12</v>
      </c>
      <c r="C8" s="4" t="s">
        <v>13</v>
      </c>
      <c r="D8" s="4">
        <v>30</v>
      </c>
      <c r="E8" s="4">
        <v>60</v>
      </c>
      <c r="F8" s="4">
        <v>15000</v>
      </c>
      <c r="G8" s="5" t="s">
        <v>48</v>
      </c>
      <c r="H8" s="5" t="s">
        <v>49</v>
      </c>
      <c r="I8" s="5" t="s">
        <v>50</v>
      </c>
      <c r="J8" s="5" t="s">
        <v>51</v>
      </c>
    </row>
    <row r="9" spans="1:10" x14ac:dyDescent="0.3">
      <c r="A9" s="4">
        <v>105</v>
      </c>
      <c r="B9" s="4" t="s">
        <v>14</v>
      </c>
      <c r="C9" s="4" t="s">
        <v>10</v>
      </c>
      <c r="D9" s="4">
        <v>81</v>
      </c>
      <c r="E9" s="4">
        <v>90</v>
      </c>
      <c r="F9" s="4">
        <v>30000</v>
      </c>
      <c r="G9">
        <f>COUNT(D5:D34)</f>
        <v>30</v>
      </c>
      <c r="H9">
        <f>ROUND(85.678,2)</f>
        <v>85.68</v>
      </c>
      <c r="I9">
        <f>ROUNDUP(45.12,0)</f>
        <v>46</v>
      </c>
      <c r="J9">
        <f>ROUNDDOWN(45.99,0)</f>
        <v>45</v>
      </c>
    </row>
    <row r="10" spans="1:10" x14ac:dyDescent="0.3">
      <c r="A10" s="4">
        <v>106</v>
      </c>
      <c r="B10" s="4" t="s">
        <v>15</v>
      </c>
      <c r="C10" s="4" t="s">
        <v>8</v>
      </c>
      <c r="D10" s="4">
        <v>75</v>
      </c>
      <c r="E10" s="4">
        <v>85</v>
      </c>
      <c r="F10" s="4">
        <v>27000</v>
      </c>
    </row>
    <row r="11" spans="1:10" x14ac:dyDescent="0.3">
      <c r="A11" s="4">
        <v>107</v>
      </c>
      <c r="B11" s="4" t="s">
        <v>16</v>
      </c>
      <c r="C11" s="4" t="s">
        <v>13</v>
      </c>
      <c r="D11" s="4">
        <v>55</v>
      </c>
      <c r="E11" s="4">
        <v>70</v>
      </c>
      <c r="F11" s="4">
        <v>20000</v>
      </c>
      <c r="G11" s="5" t="s">
        <v>52</v>
      </c>
      <c r="H11" s="5" t="s">
        <v>53</v>
      </c>
      <c r="I11" s="5" t="s">
        <v>54</v>
      </c>
      <c r="J11" s="5" t="s">
        <v>55</v>
      </c>
    </row>
    <row r="12" spans="1:10" x14ac:dyDescent="0.3">
      <c r="A12" s="4">
        <v>108</v>
      </c>
      <c r="B12" s="4" t="s">
        <v>17</v>
      </c>
      <c r="C12" s="4" t="s">
        <v>10</v>
      </c>
      <c r="D12" s="4">
        <v>98</v>
      </c>
      <c r="E12" s="4">
        <v>99</v>
      </c>
      <c r="F12" s="4">
        <v>35000</v>
      </c>
      <c r="G12">
        <f>ABS(-250)</f>
        <v>250</v>
      </c>
      <c r="H12">
        <f>POWER(D10,5)</f>
        <v>2373046875</v>
      </c>
      <c r="I12">
        <f>SQRT(E9)</f>
        <v>9.4868329805051381</v>
      </c>
      <c r="J12">
        <f>MOD(10,3)</f>
        <v>1</v>
      </c>
    </row>
    <row r="13" spans="1:10" x14ac:dyDescent="0.3">
      <c r="A13" s="4">
        <v>109</v>
      </c>
      <c r="B13" s="4" t="s">
        <v>18</v>
      </c>
      <c r="C13" s="4" t="s">
        <v>8</v>
      </c>
      <c r="D13" s="4">
        <v>64</v>
      </c>
      <c r="E13" s="4">
        <v>78</v>
      </c>
      <c r="F13" s="4">
        <v>21000</v>
      </c>
    </row>
    <row r="14" spans="1:10" x14ac:dyDescent="0.3">
      <c r="A14" s="4">
        <v>110</v>
      </c>
      <c r="B14" s="4" t="s">
        <v>19</v>
      </c>
      <c r="C14" s="4" t="s">
        <v>13</v>
      </c>
      <c r="D14" s="4">
        <v>39</v>
      </c>
      <c r="E14" s="4">
        <v>55</v>
      </c>
      <c r="F14" s="4">
        <v>16000</v>
      </c>
      <c r="G14" s="5" t="s">
        <v>56</v>
      </c>
      <c r="H14" s="5" t="s">
        <v>57</v>
      </c>
    </row>
    <row r="15" spans="1:10" x14ac:dyDescent="0.3">
      <c r="A15" s="4">
        <v>111</v>
      </c>
      <c r="B15" s="4" t="s">
        <v>20</v>
      </c>
      <c r="C15" s="4" t="s">
        <v>10</v>
      </c>
      <c r="D15" s="4">
        <v>87</v>
      </c>
      <c r="E15" s="4">
        <v>92</v>
      </c>
      <c r="F15" s="4">
        <v>32000</v>
      </c>
      <c r="G15">
        <f>INT(45.99)</f>
        <v>45</v>
      </c>
      <c r="H15">
        <f>FLOOR(456,50)</f>
        <v>450</v>
      </c>
    </row>
    <row r="16" spans="1:10" x14ac:dyDescent="0.3">
      <c r="A16" s="4">
        <v>112</v>
      </c>
      <c r="B16" s="4" t="s">
        <v>21</v>
      </c>
      <c r="C16" s="4" t="s">
        <v>8</v>
      </c>
      <c r="D16" s="4">
        <v>73</v>
      </c>
      <c r="E16" s="4">
        <v>81</v>
      </c>
      <c r="F16" s="4">
        <v>26000</v>
      </c>
    </row>
    <row r="17" spans="1:6" x14ac:dyDescent="0.3">
      <c r="A17" s="4">
        <v>113</v>
      </c>
      <c r="B17" s="4" t="s">
        <v>22</v>
      </c>
      <c r="C17" s="4" t="s">
        <v>13</v>
      </c>
      <c r="D17" s="4">
        <v>49</v>
      </c>
      <c r="E17" s="4">
        <v>68</v>
      </c>
      <c r="F17" s="4">
        <v>17000</v>
      </c>
    </row>
    <row r="18" spans="1:6" x14ac:dyDescent="0.3">
      <c r="A18" s="4">
        <v>114</v>
      </c>
      <c r="B18" s="4" t="s">
        <v>23</v>
      </c>
      <c r="C18" s="4" t="s">
        <v>10</v>
      </c>
      <c r="D18" s="4">
        <v>91</v>
      </c>
      <c r="E18" s="4">
        <v>96</v>
      </c>
      <c r="F18" s="4">
        <v>34000</v>
      </c>
    </row>
    <row r="19" spans="1:6" x14ac:dyDescent="0.3">
      <c r="A19" s="4">
        <v>115</v>
      </c>
      <c r="B19" s="4" t="s">
        <v>24</v>
      </c>
      <c r="C19" s="4" t="s">
        <v>8</v>
      </c>
      <c r="D19" s="4">
        <v>58</v>
      </c>
      <c r="E19" s="4">
        <v>74</v>
      </c>
      <c r="F19" s="4">
        <v>19000</v>
      </c>
    </row>
    <row r="20" spans="1:6" x14ac:dyDescent="0.3">
      <c r="A20" s="4">
        <v>116</v>
      </c>
      <c r="B20" s="4" t="s">
        <v>25</v>
      </c>
      <c r="C20" s="4" t="s">
        <v>13</v>
      </c>
      <c r="D20" s="4">
        <v>84</v>
      </c>
      <c r="E20" s="4">
        <v>89</v>
      </c>
      <c r="F20" s="4">
        <v>31000</v>
      </c>
    </row>
    <row r="21" spans="1:6" x14ac:dyDescent="0.3">
      <c r="A21" s="4">
        <v>117</v>
      </c>
      <c r="B21" s="4" t="s">
        <v>26</v>
      </c>
      <c r="C21" s="4" t="s">
        <v>10</v>
      </c>
      <c r="D21" s="4">
        <v>62</v>
      </c>
      <c r="E21" s="4">
        <v>77</v>
      </c>
      <c r="F21" s="4">
        <v>23000</v>
      </c>
    </row>
    <row r="22" spans="1:6" x14ac:dyDescent="0.3">
      <c r="A22" s="4">
        <v>118</v>
      </c>
      <c r="B22" s="4" t="s">
        <v>27</v>
      </c>
      <c r="C22" s="4" t="s">
        <v>8</v>
      </c>
      <c r="D22" s="4">
        <v>28</v>
      </c>
      <c r="E22" s="4">
        <v>50</v>
      </c>
      <c r="F22" s="4">
        <v>14000</v>
      </c>
    </row>
    <row r="23" spans="1:6" x14ac:dyDescent="0.3">
      <c r="A23" s="4">
        <v>119</v>
      </c>
      <c r="B23" s="4" t="s">
        <v>28</v>
      </c>
      <c r="C23" s="4" t="s">
        <v>13</v>
      </c>
      <c r="D23" s="4">
        <v>95</v>
      </c>
      <c r="E23" s="4">
        <v>98</v>
      </c>
      <c r="F23" s="4">
        <v>36000</v>
      </c>
    </row>
    <row r="24" spans="1:6" x14ac:dyDescent="0.3">
      <c r="A24" s="4">
        <v>120</v>
      </c>
      <c r="B24" s="4" t="s">
        <v>29</v>
      </c>
      <c r="C24" s="4" t="s">
        <v>10</v>
      </c>
      <c r="D24" s="4">
        <v>70</v>
      </c>
      <c r="E24" s="4">
        <v>80</v>
      </c>
      <c r="F24" s="4">
        <v>24000</v>
      </c>
    </row>
    <row r="25" spans="1:6" x14ac:dyDescent="0.3">
      <c r="A25" s="4">
        <v>121</v>
      </c>
      <c r="B25" s="4" t="s">
        <v>30</v>
      </c>
      <c r="C25" s="4" t="s">
        <v>8</v>
      </c>
      <c r="D25" s="4">
        <v>53</v>
      </c>
      <c r="E25" s="4">
        <v>69</v>
      </c>
      <c r="F25" s="4">
        <v>20000</v>
      </c>
    </row>
    <row r="26" spans="1:6" x14ac:dyDescent="0.3">
      <c r="A26" s="4">
        <v>122</v>
      </c>
      <c r="B26" s="4" t="s">
        <v>31</v>
      </c>
      <c r="C26" s="4" t="s">
        <v>13</v>
      </c>
      <c r="D26" s="4">
        <v>88</v>
      </c>
      <c r="E26" s="4">
        <v>93</v>
      </c>
      <c r="F26" s="4">
        <v>33000</v>
      </c>
    </row>
    <row r="27" spans="1:6" x14ac:dyDescent="0.3">
      <c r="A27" s="4">
        <v>123</v>
      </c>
      <c r="B27" s="4" t="s">
        <v>32</v>
      </c>
      <c r="C27" s="4" t="s">
        <v>10</v>
      </c>
      <c r="D27" s="4">
        <v>41</v>
      </c>
      <c r="E27" s="4">
        <v>58</v>
      </c>
      <c r="F27" s="4">
        <v>15500</v>
      </c>
    </row>
    <row r="28" spans="1:6" x14ac:dyDescent="0.3">
      <c r="A28" s="4">
        <v>124</v>
      </c>
      <c r="B28" s="4" t="s">
        <v>33</v>
      </c>
      <c r="C28" s="4" t="s">
        <v>8</v>
      </c>
      <c r="D28" s="4">
        <v>77</v>
      </c>
      <c r="E28" s="4">
        <v>86</v>
      </c>
      <c r="F28" s="4">
        <v>28000</v>
      </c>
    </row>
    <row r="29" spans="1:6" x14ac:dyDescent="0.3">
      <c r="A29" s="4">
        <v>125</v>
      </c>
      <c r="B29" s="4" t="s">
        <v>34</v>
      </c>
      <c r="C29" s="4" t="s">
        <v>13</v>
      </c>
      <c r="D29" s="4">
        <v>66</v>
      </c>
      <c r="E29" s="4">
        <v>79</v>
      </c>
      <c r="F29" s="4">
        <v>22500</v>
      </c>
    </row>
    <row r="30" spans="1:6" x14ac:dyDescent="0.3">
      <c r="A30" s="4">
        <v>126</v>
      </c>
      <c r="B30" s="4" t="s">
        <v>35</v>
      </c>
      <c r="C30" s="4" t="s">
        <v>10</v>
      </c>
      <c r="D30" s="4">
        <v>93</v>
      </c>
      <c r="E30" s="4">
        <v>97</v>
      </c>
      <c r="F30" s="4">
        <v>34500</v>
      </c>
    </row>
    <row r="31" spans="1:6" x14ac:dyDescent="0.3">
      <c r="A31" s="4">
        <v>127</v>
      </c>
      <c r="B31" s="4" t="s">
        <v>36</v>
      </c>
      <c r="C31" s="4" t="s">
        <v>8</v>
      </c>
      <c r="D31" s="4">
        <v>59</v>
      </c>
      <c r="E31" s="4">
        <v>73</v>
      </c>
      <c r="F31" s="4">
        <v>21000</v>
      </c>
    </row>
    <row r="32" spans="1:6" x14ac:dyDescent="0.3">
      <c r="A32" s="4">
        <v>128</v>
      </c>
      <c r="B32" s="4" t="s">
        <v>37</v>
      </c>
      <c r="C32" s="4" t="s">
        <v>13</v>
      </c>
      <c r="D32" s="4">
        <v>35</v>
      </c>
      <c r="E32" s="4">
        <v>62</v>
      </c>
      <c r="F32" s="4">
        <v>16500</v>
      </c>
    </row>
    <row r="33" spans="1:6" x14ac:dyDescent="0.3">
      <c r="A33" s="4">
        <v>129</v>
      </c>
      <c r="B33" s="4" t="s">
        <v>38</v>
      </c>
      <c r="C33" s="4" t="s">
        <v>10</v>
      </c>
      <c r="D33" s="4">
        <v>82</v>
      </c>
      <c r="E33" s="4">
        <v>91</v>
      </c>
      <c r="F33" s="4">
        <v>31500</v>
      </c>
    </row>
    <row r="34" spans="1:6" x14ac:dyDescent="0.3">
      <c r="A34" s="4">
        <v>130</v>
      </c>
      <c r="B34" s="4" t="s">
        <v>39</v>
      </c>
      <c r="C34" s="4" t="s">
        <v>8</v>
      </c>
      <c r="D34" s="4">
        <v>71</v>
      </c>
      <c r="E34" s="4">
        <v>82</v>
      </c>
      <c r="F34" s="4">
        <v>25500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hurbert daniel</dc:creator>
  <cp:lastModifiedBy>hurbert daniel</cp:lastModifiedBy>
  <dcterms:created xsi:type="dcterms:W3CDTF">2026-05-17T07:00:28Z</dcterms:created>
  <dcterms:modified xsi:type="dcterms:W3CDTF">2026-05-17T08:16:12Z</dcterms:modified>
</cp:coreProperties>
</file>