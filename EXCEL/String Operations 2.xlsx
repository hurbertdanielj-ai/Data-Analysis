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106AD56C-01F6-473D-BEC6-C111A14CEECC}" xr6:coauthVersionLast="47" xr6:coauthVersionMax="47" xr10:uidLastSave="{00000000-0000-0000-0000-000000000000}"/>
  <bookViews>
    <workbookView xWindow="-108" yWindow="-108" windowWidth="23256" windowHeight="13176" xr2:uid="{3A5743A0-ABA2-4C9E-B4E4-B2BE2AEA365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7" i="2" l="1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6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6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6" i="2"/>
</calcChain>
</file>

<file path=xl/sharedStrings.xml><?xml version="1.0" encoding="utf-8"?>
<sst xmlns="http://schemas.openxmlformats.org/spreadsheetml/2006/main" count="142" uniqueCount="128">
  <si>
    <t>SAMPLE DATA SET</t>
  </si>
  <si>
    <t>Full_Name</t>
  </si>
  <si>
    <t>Product_Code</t>
  </si>
  <si>
    <t>City</t>
  </si>
  <si>
    <t>arun kumar</t>
  </si>
  <si>
    <t>MOB-1001</t>
  </si>
  <si>
    <t>chennai</t>
  </si>
  <si>
    <t>hyderabad</t>
  </si>
  <si>
    <t>mumbai</t>
  </si>
  <si>
    <t>delhi</t>
  </si>
  <si>
    <t>pune</t>
  </si>
  <si>
    <t>vikram singh</t>
  </si>
  <si>
    <t>vikram@gmail.com</t>
  </si>
  <si>
    <t>jaipur</t>
  </si>
  <si>
    <t>coimbatore</t>
  </si>
  <si>
    <t>Excel String (Text) Functions</t>
  </si>
  <si>
    <t>ID</t>
  </si>
  <si>
    <t>Email</t>
  </si>
  <si>
    <t>arun01@gmail.com</t>
  </si>
  <si>
    <t>priya devi</t>
  </si>
  <si>
    <t>priya.dev@gmail.com</t>
  </si>
  <si>
    <t>madurai</t>
  </si>
  <si>
    <t>LAP-1002</t>
  </si>
  <si>
    <t>rahul sharma</t>
  </si>
  <si>
    <t>rahul123@yahoo.com</t>
  </si>
  <si>
    <t>bangalore</t>
  </si>
  <si>
    <t>TAB-1003</t>
  </si>
  <si>
    <t>sneha reddy</t>
  </si>
  <si>
    <t>sneha_r@gmail.com</t>
  </si>
  <si>
    <t>ACC-1004</t>
  </si>
  <si>
    <t>CAM-1005</t>
  </si>
  <si>
    <t>anjali mehta</t>
  </si>
  <si>
    <t>anjali@yahoo.com</t>
  </si>
  <si>
    <t>MOB-1006</t>
  </si>
  <si>
    <t>karthik raj</t>
  </si>
  <si>
    <t>karthik@outlook.com</t>
  </si>
  <si>
    <t>LAP-1007</t>
  </si>
  <si>
    <t>divya sri</t>
  </si>
  <si>
    <t>divya@gmail.com</t>
  </si>
  <si>
    <t>salem</t>
  </si>
  <si>
    <t>TAB-1008</t>
  </si>
  <si>
    <t>mohan babu</t>
  </si>
  <si>
    <t>mohan@yahoo.com</t>
  </si>
  <si>
    <t>erode</t>
  </si>
  <si>
    <t>ACC-1009</t>
  </si>
  <si>
    <t>deepak kumar</t>
  </si>
  <si>
    <t>deepak@gmail.com</t>
  </si>
  <si>
    <t>trichy</t>
  </si>
  <si>
    <t>CAM-1010</t>
  </si>
  <si>
    <t>nisha patel</t>
  </si>
  <si>
    <t>nisha@gmail.com</t>
  </si>
  <si>
    <t>MOB-1011</t>
  </si>
  <si>
    <t>aravind r</t>
  </si>
  <si>
    <t>aravind@yahoo.com</t>
  </si>
  <si>
    <t>vellore</t>
  </si>
  <si>
    <t>LAP-1012</t>
  </si>
  <si>
    <t>swetha mani</t>
  </si>
  <si>
    <t>swetha@gmail.com</t>
  </si>
  <si>
    <t>tirupur</t>
  </si>
  <si>
    <t>TAB-1013</t>
  </si>
  <si>
    <t>hari krishna</t>
  </si>
  <si>
    <t>hari@outlook.com</t>
  </si>
  <si>
    <t>kochi</t>
  </si>
  <si>
    <t>ACC-1014</t>
  </si>
  <si>
    <t>pooja singh</t>
  </si>
  <si>
    <t>pooja@gmail.com</t>
  </si>
  <si>
    <t>mysore</t>
  </si>
  <si>
    <t>CAM-1015</t>
  </si>
  <si>
    <t>rohit verma</t>
  </si>
  <si>
    <t>rohit@yahoo.com</t>
  </si>
  <si>
    <t>MOB-1016</t>
  </si>
  <si>
    <t>keerthi s</t>
  </si>
  <si>
    <t>keerthi@gmail.com</t>
  </si>
  <si>
    <t>LAP-1017</t>
  </si>
  <si>
    <t>sanjay kumar</t>
  </si>
  <si>
    <t>sanjay@gmail.com</t>
  </si>
  <si>
    <t>TAB-1018</t>
  </si>
  <si>
    <t>lavanya devi</t>
  </si>
  <si>
    <t>lavanya@yahoo.com</t>
  </si>
  <si>
    <t>ACC-1019</t>
  </si>
  <si>
    <t>naveen raj</t>
  </si>
  <si>
    <t>naveen@gmail.com</t>
  </si>
  <si>
    <t>CAM-1020</t>
  </si>
  <si>
    <t>monika sharma</t>
  </si>
  <si>
    <t>monika@gmail.com</t>
  </si>
  <si>
    <t>MOB-1021</t>
  </si>
  <si>
    <t>harshit gupta</t>
  </si>
  <si>
    <t>harshit@yahoo.com</t>
  </si>
  <si>
    <t>LAP-1022</t>
  </si>
  <si>
    <t>ramesh babu</t>
  </si>
  <si>
    <t>ramesh@gmail.com</t>
  </si>
  <si>
    <t>TAB-1023</t>
  </si>
  <si>
    <t>sruthi reddy</t>
  </si>
  <si>
    <t>sruthi@outlook.com</t>
  </si>
  <si>
    <t>ACC-1024</t>
  </si>
  <si>
    <t>dhanush k</t>
  </si>
  <si>
    <t>dhanush@gmail.com</t>
  </si>
  <si>
    <t>CAM-1025</t>
  </si>
  <si>
    <t>meena lakshmi</t>
  </si>
  <si>
    <t>meena@yahoo.com</t>
  </si>
  <si>
    <t>MOB-1026</t>
  </si>
  <si>
    <t>ajay kumar</t>
  </si>
  <si>
    <t>ajay@gmail.com</t>
  </si>
  <si>
    <t>LAP-1027</t>
  </si>
  <si>
    <t>kavya sri</t>
  </si>
  <si>
    <t>kavya@yahoo.com</t>
  </si>
  <si>
    <t>TAB-1028</t>
  </si>
  <si>
    <t>prakash r</t>
  </si>
  <si>
    <t>prakash@gmail.com</t>
  </si>
  <si>
    <t>ACC-1029</t>
  </si>
  <si>
    <t>revathi devi</t>
  </si>
  <si>
    <t>revathi@outlook.com</t>
  </si>
  <si>
    <t>CAM-1030</t>
  </si>
  <si>
    <t>Right_name</t>
  </si>
  <si>
    <t>Left_name</t>
  </si>
  <si>
    <t>Middle_name</t>
  </si>
  <si>
    <t>len</t>
  </si>
  <si>
    <t>Upper</t>
  </si>
  <si>
    <t>Lower</t>
  </si>
  <si>
    <t>Proper</t>
  </si>
  <si>
    <t>Concate</t>
  </si>
  <si>
    <t>proper_places</t>
  </si>
  <si>
    <t>Textjoin</t>
  </si>
  <si>
    <t>Trim()</t>
  </si>
  <si>
    <t>Substitute()</t>
  </si>
  <si>
    <t>Replace()</t>
  </si>
  <si>
    <t>find()</t>
  </si>
  <si>
    <t>Search(()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</si>
</sst>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ivya@gmail.com" TargetMode="External"/><Relationship Id="rId13" Type="http://schemas.openxmlformats.org/officeDocument/2006/relationships/hyperlink" Target="mailto:swetha@gmail.com" TargetMode="External"/><Relationship Id="rId18" Type="http://schemas.openxmlformats.org/officeDocument/2006/relationships/hyperlink" Target="mailto:sanjay@gmail.com" TargetMode="External"/><Relationship Id="rId26" Type="http://schemas.openxmlformats.org/officeDocument/2006/relationships/hyperlink" Target="mailto:meena@yahoo.com" TargetMode="External"/><Relationship Id="rId3" Type="http://schemas.openxmlformats.org/officeDocument/2006/relationships/hyperlink" Target="mailto:rahul123@yahoo.com" TargetMode="External"/><Relationship Id="rId21" Type="http://schemas.openxmlformats.org/officeDocument/2006/relationships/hyperlink" Target="mailto:monika@gmail.com" TargetMode="External"/><Relationship Id="rId7" Type="http://schemas.openxmlformats.org/officeDocument/2006/relationships/hyperlink" Target="mailto:karthik@outlook.com" TargetMode="External"/><Relationship Id="rId12" Type="http://schemas.openxmlformats.org/officeDocument/2006/relationships/hyperlink" Target="mailto:aravind@yahoo.com" TargetMode="External"/><Relationship Id="rId17" Type="http://schemas.openxmlformats.org/officeDocument/2006/relationships/hyperlink" Target="mailto:keerthi@gmail.com" TargetMode="External"/><Relationship Id="rId25" Type="http://schemas.openxmlformats.org/officeDocument/2006/relationships/hyperlink" Target="mailto:dhanush@gmail.com" TargetMode="External"/><Relationship Id="rId2" Type="http://schemas.openxmlformats.org/officeDocument/2006/relationships/hyperlink" Target="mailto:priya.dev@gmail.com" TargetMode="External"/><Relationship Id="rId16" Type="http://schemas.openxmlformats.org/officeDocument/2006/relationships/hyperlink" Target="mailto:rohit@yahoo.com" TargetMode="External"/><Relationship Id="rId20" Type="http://schemas.openxmlformats.org/officeDocument/2006/relationships/hyperlink" Target="mailto:naveen@gmail.com" TargetMode="External"/><Relationship Id="rId29" Type="http://schemas.openxmlformats.org/officeDocument/2006/relationships/hyperlink" Target="mailto:prakash@gmail.com" TargetMode="External"/><Relationship Id="rId1" Type="http://schemas.openxmlformats.org/officeDocument/2006/relationships/hyperlink" Target="mailto:arun01@gmail.com" TargetMode="External"/><Relationship Id="rId6" Type="http://schemas.openxmlformats.org/officeDocument/2006/relationships/hyperlink" Target="mailto:anjali@yahoo.com" TargetMode="External"/><Relationship Id="rId11" Type="http://schemas.openxmlformats.org/officeDocument/2006/relationships/hyperlink" Target="mailto:nisha@gmail.com" TargetMode="External"/><Relationship Id="rId24" Type="http://schemas.openxmlformats.org/officeDocument/2006/relationships/hyperlink" Target="mailto:sruthi@outlook.com" TargetMode="External"/><Relationship Id="rId5" Type="http://schemas.openxmlformats.org/officeDocument/2006/relationships/hyperlink" Target="mailto:vikram@gmail.com" TargetMode="External"/><Relationship Id="rId15" Type="http://schemas.openxmlformats.org/officeDocument/2006/relationships/hyperlink" Target="mailto:pooja@gmail.com" TargetMode="External"/><Relationship Id="rId23" Type="http://schemas.openxmlformats.org/officeDocument/2006/relationships/hyperlink" Target="mailto:ramesh@gmail.com" TargetMode="External"/><Relationship Id="rId28" Type="http://schemas.openxmlformats.org/officeDocument/2006/relationships/hyperlink" Target="mailto:kavya@yahoo.com" TargetMode="External"/><Relationship Id="rId10" Type="http://schemas.openxmlformats.org/officeDocument/2006/relationships/hyperlink" Target="mailto:deepak@gmail.com" TargetMode="External"/><Relationship Id="rId19" Type="http://schemas.openxmlformats.org/officeDocument/2006/relationships/hyperlink" Target="mailto:lavanya@yahoo.com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mailto:sneha_r@gmail.com" TargetMode="External"/><Relationship Id="rId9" Type="http://schemas.openxmlformats.org/officeDocument/2006/relationships/hyperlink" Target="mailto:mohan@yahoo.com" TargetMode="External"/><Relationship Id="rId14" Type="http://schemas.openxmlformats.org/officeDocument/2006/relationships/hyperlink" Target="mailto:hari@outlook.com" TargetMode="External"/><Relationship Id="rId22" Type="http://schemas.openxmlformats.org/officeDocument/2006/relationships/hyperlink" Target="mailto:harshit@yahoo.com" TargetMode="External"/><Relationship Id="rId27" Type="http://schemas.openxmlformats.org/officeDocument/2006/relationships/hyperlink" Target="mailto:ajay@gmail.com" TargetMode="External"/><Relationship Id="rId30" Type="http://schemas.openxmlformats.org/officeDocument/2006/relationships/hyperlink" Target="mailto:revathi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615F0-C35A-4994-99D6-44B08DFB2340}">
  <dimension ref="A1:T35"/>
  <sheetViews>
    <sheetView tabSelected="1" topLeftCell="M1" workbookViewId="0">
      <selection activeCell="U6" sqref="U6"/>
    </sheetView>
  </sheetViews>
  <sheetFormatPr defaultRowHeight="14.4" x14ac:dyDescent="0.3"/>
  <cols>
    <col min="1" max="1" width="7.44140625" customWidth="1"/>
    <col min="2" max="2" width="13.5546875" bestFit="1" customWidth="1"/>
    <col min="3" max="3" width="19.33203125" bestFit="1" customWidth="1"/>
    <col min="4" max="4" width="15.88671875" customWidth="1"/>
    <col min="5" max="5" width="13.109375" bestFit="1" customWidth="1"/>
    <col min="6" max="6" width="10" bestFit="1" customWidth="1"/>
    <col min="7" max="7" width="11.109375" bestFit="1" customWidth="1"/>
    <col min="8" max="8" width="12.6640625" bestFit="1" customWidth="1"/>
    <col min="9" max="9" width="11.6640625" customWidth="1"/>
    <col min="10" max="10" width="15.6640625" bestFit="1" customWidth="1"/>
    <col min="11" max="11" width="13.5546875" bestFit="1" customWidth="1"/>
    <col min="12" max="12" width="13.77734375" bestFit="1" customWidth="1"/>
    <col min="13" max="13" width="13.77734375" customWidth="1"/>
    <col min="14" max="14" width="22" bestFit="1" customWidth="1"/>
    <col min="15" max="15" width="31.44140625" bestFit="1" customWidth="1"/>
    <col min="16" max="16" width="19.77734375" customWidth="1"/>
    <col min="17" max="17" width="11.109375" bestFit="1" customWidth="1"/>
    <col min="18" max="18" width="10.88671875" bestFit="1" customWidth="1"/>
  </cols>
  <sheetData>
    <row r="1" spans="1:20" ht="18" x14ac:dyDescent="0.35">
      <c r="A1" s="3" t="s">
        <v>15</v>
      </c>
      <c r="B1" s="3"/>
      <c r="C1" s="3"/>
      <c r="D1" s="3"/>
    </row>
    <row r="3" spans="1:20" x14ac:dyDescent="0.3">
      <c r="A3" s="4" t="s">
        <v>0</v>
      </c>
      <c r="B3" s="4"/>
    </row>
    <row r="5" spans="1:20" x14ac:dyDescent="0.3">
      <c r="A5" s="5" t="s">
        <v>16</v>
      </c>
      <c r="B5" s="5" t="s">
        <v>1</v>
      </c>
      <c r="C5" s="5" t="s">
        <v>17</v>
      </c>
      <c r="D5" s="5" t="s">
        <v>3</v>
      </c>
      <c r="E5" s="6" t="s">
        <v>2</v>
      </c>
      <c r="F5" s="6" t="s">
        <v>114</v>
      </c>
      <c r="G5" s="5" t="s">
        <v>113</v>
      </c>
      <c r="H5" s="6" t="s">
        <v>115</v>
      </c>
      <c r="I5" s="6" t="s">
        <v>116</v>
      </c>
      <c r="J5" s="6" t="s">
        <v>117</v>
      </c>
      <c r="K5" s="6" t="s">
        <v>118</v>
      </c>
      <c r="L5" s="6" t="s">
        <v>119</v>
      </c>
      <c r="M5" s="6" t="s">
        <v>121</v>
      </c>
      <c r="N5" s="6" t="s">
        <v>120</v>
      </c>
      <c r="O5" s="6" t="s">
        <v>122</v>
      </c>
      <c r="P5" s="6" t="s">
        <v>123</v>
      </c>
      <c r="Q5" s="6" t="s">
        <v>125</v>
      </c>
      <c r="R5" s="7" t="s">
        <v>124</v>
      </c>
      <c r="S5" s="6" t="s">
        <v>126</v>
      </c>
      <c r="T5" s="6" t="s">
        <v>127</v>
      </c>
    </row>
    <row r="6" spans="1:20" x14ac:dyDescent="0.3">
      <c r="A6" s="1">
        <v>1</v>
      </c>
      <c r="B6" s="1" t="s">
        <v>4</v>
      </c>
      <c r="C6" s="2" t="s">
        <v>18</v>
      </c>
      <c r="D6" s="1" t="s">
        <v>6</v>
      </c>
      <c r="E6" s="1" t="s">
        <v>5</v>
      </c>
      <c r="F6" t="str">
        <f>LEFT(B6,5)</f>
        <v xml:space="preserve">arun </v>
      </c>
      <c r="G6" t="str">
        <f>RIGHT(B6,6)</f>
        <v xml:space="preserve"> kumar</v>
      </c>
      <c r="H6" t="str">
        <f>MID(B6,3,7)</f>
        <v>un kuma</v>
      </c>
      <c r="I6">
        <f>LEN(B6)</f>
        <v>10</v>
      </c>
      <c r="J6" t="str">
        <f>UPPER(B6)</f>
        <v>ARUN KUMAR</v>
      </c>
      <c r="K6" t="str">
        <f>LOWER(B6)</f>
        <v>arun kumar</v>
      </c>
      <c r="L6" t="str">
        <f>PROPER(B6)</f>
        <v>Arun Kumar</v>
      </c>
      <c r="M6" t="str">
        <f>PROPER(D6)</f>
        <v>Chennai</v>
      </c>
      <c r="N6" t="str">
        <f>_xlfn.CONCAT(L6, ,M6)</f>
        <v>Arun KumarChennai</v>
      </c>
      <c r="O6" t="str">
        <f>_xlfn.TEXTJOIN("-",TRUE,L6,M6,E6)</f>
        <v>Arun Kumar-Chennai-MOB-1001</v>
      </c>
      <c r="P6" t="str">
        <f>TRIM(B6)</f>
        <v>arun kumar</v>
      </c>
      <c r="Q6" t="str">
        <f>REPLACE(B6,6,7,"mass")</f>
        <v>arun mass</v>
      </c>
      <c r="R6" t="str">
        <f>SUBSTITUTE(D6,D6,M6)</f>
        <v>Chennai</v>
      </c>
      <c r="S6">
        <f>FIND("a",R6,2)</f>
        <v>6</v>
      </c>
      <c r="T6" t="e">
        <f>SEARCH("d",R6)</f>
        <v>#VALUE!</v>
      </c>
    </row>
    <row r="7" spans="1:20" x14ac:dyDescent="0.3">
      <c r="A7" s="1">
        <v>2</v>
      </c>
      <c r="B7" s="1" t="s">
        <v>19</v>
      </c>
      <c r="C7" s="2" t="s">
        <v>20</v>
      </c>
      <c r="D7" s="1" t="s">
        <v>21</v>
      </c>
      <c r="E7" s="1" t="s">
        <v>22</v>
      </c>
      <c r="F7" t="str">
        <f t="shared" ref="F7:F35" si="0">LEFT(B7,5)</f>
        <v>priya</v>
      </c>
      <c r="G7" t="str">
        <f t="shared" ref="G7:G35" si="1">RIGHT(B7,6)</f>
        <v>a devi</v>
      </c>
      <c r="H7" t="str">
        <f t="shared" ref="H7:H35" si="2">MID(B7,3,7)</f>
        <v>iya dev</v>
      </c>
      <c r="I7">
        <f t="shared" ref="I7:I35" si="3">LEN(B7)</f>
        <v>10</v>
      </c>
      <c r="J7" t="str">
        <f t="shared" ref="J7:J35" si="4">UPPER(B7)</f>
        <v>PRIYA DEVI</v>
      </c>
      <c r="K7" t="str">
        <f t="shared" ref="K7:K35" si="5">LOWER(B7)</f>
        <v>priya devi</v>
      </c>
      <c r="L7" t="str">
        <f t="shared" ref="L7:L35" si="6">PROPER(B7)</f>
        <v>Priya Devi</v>
      </c>
      <c r="M7" t="str">
        <f t="shared" ref="M7:M35" si="7">PROPER(D7)</f>
        <v>Madurai</v>
      </c>
      <c r="N7" t="str">
        <f t="shared" ref="N7:N35" si="8">_xlfn.CONCAT(L7, ,M7)</f>
        <v>Priya DeviMadurai</v>
      </c>
      <c r="O7" t="str">
        <f t="shared" ref="O7:O35" si="9">_xlfn.TEXTJOIN("-",TRUE,L7,M7,E7)</f>
        <v>Priya Devi-Madurai-LAP-1002</v>
      </c>
      <c r="P7" t="str">
        <f t="shared" ref="P7:P35" si="10">TRIM(B7)</f>
        <v>priya devi</v>
      </c>
      <c r="Q7" t="str">
        <f t="shared" ref="Q7:Q35" si="11">REPLACE(B7,6,7,"mass")</f>
        <v>priyamass</v>
      </c>
      <c r="R7" t="str">
        <f t="shared" ref="R7:R35" si="12">SUBSTITUTE(D7,D7,M7)</f>
        <v>Madurai</v>
      </c>
      <c r="S7">
        <f t="shared" ref="S7:S35" si="13">FIND("a",R7,1)</f>
        <v>2</v>
      </c>
      <c r="T7">
        <f t="shared" ref="T7:T35" si="14">SEARCH("d",R7)</f>
        <v>3</v>
      </c>
    </row>
    <row r="8" spans="1:20" x14ac:dyDescent="0.3">
      <c r="A8" s="1">
        <v>3</v>
      </c>
      <c r="B8" s="1" t="s">
        <v>23</v>
      </c>
      <c r="C8" s="2" t="s">
        <v>24</v>
      </c>
      <c r="D8" s="1" t="s">
        <v>25</v>
      </c>
      <c r="E8" s="1" t="s">
        <v>26</v>
      </c>
      <c r="F8" t="str">
        <f t="shared" si="0"/>
        <v>rahul</v>
      </c>
      <c r="G8" t="str">
        <f t="shared" si="1"/>
        <v>sharma</v>
      </c>
      <c r="H8" t="str">
        <f t="shared" si="2"/>
        <v>hul sha</v>
      </c>
      <c r="I8">
        <f t="shared" si="3"/>
        <v>12</v>
      </c>
      <c r="J8" t="str">
        <f t="shared" si="4"/>
        <v>RAHUL SHARMA</v>
      </c>
      <c r="K8" t="str">
        <f t="shared" si="5"/>
        <v>rahul sharma</v>
      </c>
      <c r="L8" t="str">
        <f t="shared" si="6"/>
        <v>Rahul Sharma</v>
      </c>
      <c r="M8" t="str">
        <f t="shared" si="7"/>
        <v>Bangalore</v>
      </c>
      <c r="N8" t="str">
        <f t="shared" si="8"/>
        <v>Rahul SharmaBangalore</v>
      </c>
      <c r="O8" t="str">
        <f t="shared" si="9"/>
        <v>Rahul Sharma-Bangalore-TAB-1003</v>
      </c>
      <c r="P8" t="str">
        <f t="shared" si="10"/>
        <v>rahul sharma</v>
      </c>
      <c r="Q8" t="str">
        <f t="shared" si="11"/>
        <v>rahulmass</v>
      </c>
      <c r="R8" t="str">
        <f t="shared" si="12"/>
        <v>Bangalore</v>
      </c>
      <c r="S8">
        <f t="shared" si="13"/>
        <v>2</v>
      </c>
      <c r="T8" t="e">
        <f t="shared" si="14"/>
        <v>#VALUE!</v>
      </c>
    </row>
    <row r="9" spans="1:20" x14ac:dyDescent="0.3">
      <c r="A9" s="1">
        <v>4</v>
      </c>
      <c r="B9" s="1" t="s">
        <v>27</v>
      </c>
      <c r="C9" s="2" t="s">
        <v>28</v>
      </c>
      <c r="D9" s="1" t="s">
        <v>7</v>
      </c>
      <c r="E9" s="1" t="s">
        <v>29</v>
      </c>
      <c r="F9" t="str">
        <f t="shared" si="0"/>
        <v>sneha</v>
      </c>
      <c r="G9" t="str">
        <f t="shared" si="1"/>
        <v xml:space="preserve"> reddy</v>
      </c>
      <c r="H9" t="str">
        <f t="shared" si="2"/>
        <v>eha red</v>
      </c>
      <c r="I9">
        <f t="shared" si="3"/>
        <v>11</v>
      </c>
      <c r="J9" t="str">
        <f t="shared" si="4"/>
        <v>SNEHA REDDY</v>
      </c>
      <c r="K9" t="str">
        <f t="shared" si="5"/>
        <v>sneha reddy</v>
      </c>
      <c r="L9" t="str">
        <f t="shared" si="6"/>
        <v>Sneha Reddy</v>
      </c>
      <c r="M9" t="str">
        <f t="shared" si="7"/>
        <v>Hyderabad</v>
      </c>
      <c r="N9" t="str">
        <f t="shared" si="8"/>
        <v>Sneha ReddyHyderabad</v>
      </c>
      <c r="O9" t="str">
        <f t="shared" si="9"/>
        <v>Sneha Reddy-Hyderabad-ACC-1004</v>
      </c>
      <c r="P9" t="str">
        <f t="shared" si="10"/>
        <v>sneha reddy</v>
      </c>
      <c r="Q9" t="str">
        <f t="shared" si="11"/>
        <v>snehamass</v>
      </c>
      <c r="R9" t="str">
        <f t="shared" si="12"/>
        <v>Hyderabad</v>
      </c>
      <c r="S9">
        <f t="shared" si="13"/>
        <v>6</v>
      </c>
      <c r="T9">
        <f t="shared" si="14"/>
        <v>3</v>
      </c>
    </row>
    <row r="10" spans="1:20" x14ac:dyDescent="0.3">
      <c r="A10" s="1">
        <v>5</v>
      </c>
      <c r="B10" s="1" t="s">
        <v>11</v>
      </c>
      <c r="C10" s="2" t="s">
        <v>12</v>
      </c>
      <c r="D10" s="1" t="s">
        <v>9</v>
      </c>
      <c r="E10" s="1" t="s">
        <v>30</v>
      </c>
      <c r="F10" t="str">
        <f t="shared" si="0"/>
        <v>vikra</v>
      </c>
      <c r="G10" t="str">
        <f t="shared" si="1"/>
        <v xml:space="preserve"> singh</v>
      </c>
      <c r="H10" t="str">
        <f t="shared" si="2"/>
        <v>kram si</v>
      </c>
      <c r="I10">
        <f t="shared" si="3"/>
        <v>12</v>
      </c>
      <c r="J10" t="str">
        <f t="shared" si="4"/>
        <v>VIKRAM SINGH</v>
      </c>
      <c r="K10" t="str">
        <f t="shared" si="5"/>
        <v>vikram singh</v>
      </c>
      <c r="L10" t="str">
        <f t="shared" si="6"/>
        <v>Vikram Singh</v>
      </c>
      <c r="M10" t="str">
        <f t="shared" si="7"/>
        <v>Delhi</v>
      </c>
      <c r="N10" t="str">
        <f t="shared" si="8"/>
        <v>Vikram SinghDelhi</v>
      </c>
      <c r="O10" t="str">
        <f t="shared" si="9"/>
        <v>Vikram Singh-Delhi-CAM-1005</v>
      </c>
      <c r="P10" t="str">
        <f t="shared" si="10"/>
        <v>vikram singh</v>
      </c>
      <c r="Q10" t="str">
        <f t="shared" si="11"/>
        <v>vikramass</v>
      </c>
      <c r="R10" t="str">
        <f t="shared" si="12"/>
        <v>Delhi</v>
      </c>
      <c r="S10" t="e">
        <f t="shared" si="13"/>
        <v>#VALUE!</v>
      </c>
      <c r="T10">
        <f t="shared" si="14"/>
        <v>1</v>
      </c>
    </row>
    <row r="11" spans="1:20" x14ac:dyDescent="0.3">
      <c r="A11" s="1">
        <v>6</v>
      </c>
      <c r="B11" s="1" t="s">
        <v>31</v>
      </c>
      <c r="C11" s="2" t="s">
        <v>32</v>
      </c>
      <c r="D11" s="1" t="s">
        <v>8</v>
      </c>
      <c r="E11" s="1" t="s">
        <v>33</v>
      </c>
      <c r="F11" t="str">
        <f t="shared" si="0"/>
        <v>anjal</v>
      </c>
      <c r="G11" t="str">
        <f t="shared" si="1"/>
        <v xml:space="preserve"> mehta</v>
      </c>
      <c r="H11" t="str">
        <f t="shared" si="2"/>
        <v>jali me</v>
      </c>
      <c r="I11">
        <f t="shared" si="3"/>
        <v>12</v>
      </c>
      <c r="J11" t="str">
        <f t="shared" si="4"/>
        <v>ANJALI MEHTA</v>
      </c>
      <c r="K11" t="str">
        <f t="shared" si="5"/>
        <v>anjali mehta</v>
      </c>
      <c r="L11" t="str">
        <f t="shared" si="6"/>
        <v>Anjali Mehta</v>
      </c>
      <c r="M11" t="str">
        <f t="shared" si="7"/>
        <v>Mumbai</v>
      </c>
      <c r="N11" t="str">
        <f t="shared" si="8"/>
        <v>Anjali MehtaMumbai</v>
      </c>
      <c r="O11" t="str">
        <f t="shared" si="9"/>
        <v>Anjali Mehta-Mumbai-MOB-1006</v>
      </c>
      <c r="P11" t="str">
        <f t="shared" si="10"/>
        <v>anjali mehta</v>
      </c>
      <c r="Q11" t="str">
        <f t="shared" si="11"/>
        <v>anjalmass</v>
      </c>
      <c r="R11" t="str">
        <f t="shared" si="12"/>
        <v>Mumbai</v>
      </c>
      <c r="S11">
        <f t="shared" si="13"/>
        <v>5</v>
      </c>
      <c r="T11" t="e">
        <f t="shared" si="14"/>
        <v>#VALUE!</v>
      </c>
    </row>
    <row r="12" spans="1:20" x14ac:dyDescent="0.3">
      <c r="A12" s="1">
        <v>7</v>
      </c>
      <c r="B12" s="1" t="s">
        <v>34</v>
      </c>
      <c r="C12" s="2" t="s">
        <v>35</v>
      </c>
      <c r="D12" s="1" t="s">
        <v>14</v>
      </c>
      <c r="E12" s="1" t="s">
        <v>36</v>
      </c>
      <c r="F12" t="str">
        <f t="shared" si="0"/>
        <v>karth</v>
      </c>
      <c r="G12" t="str">
        <f t="shared" si="1"/>
        <v>ik raj</v>
      </c>
      <c r="H12" t="str">
        <f t="shared" si="2"/>
        <v>rthik r</v>
      </c>
      <c r="I12">
        <f t="shared" si="3"/>
        <v>11</v>
      </c>
      <c r="J12" t="str">
        <f t="shared" si="4"/>
        <v>KARTHIK RAJ</v>
      </c>
      <c r="K12" t="str">
        <f t="shared" si="5"/>
        <v>karthik raj</v>
      </c>
      <c r="L12" t="str">
        <f t="shared" si="6"/>
        <v>Karthik Raj</v>
      </c>
      <c r="M12" t="str">
        <f t="shared" si="7"/>
        <v>Coimbatore</v>
      </c>
      <c r="N12" t="str">
        <f t="shared" si="8"/>
        <v>Karthik RajCoimbatore</v>
      </c>
      <c r="O12" t="str">
        <f t="shared" si="9"/>
        <v>Karthik Raj-Coimbatore-LAP-1007</v>
      </c>
      <c r="P12" t="str">
        <f t="shared" si="10"/>
        <v>karthik raj</v>
      </c>
      <c r="Q12" t="str">
        <f t="shared" si="11"/>
        <v>karthmass</v>
      </c>
      <c r="R12" t="str">
        <f t="shared" si="12"/>
        <v>Coimbatore</v>
      </c>
      <c r="S12">
        <f t="shared" si="13"/>
        <v>6</v>
      </c>
      <c r="T12" t="e">
        <f t="shared" si="14"/>
        <v>#VALUE!</v>
      </c>
    </row>
    <row r="13" spans="1:20" x14ac:dyDescent="0.3">
      <c r="A13" s="1">
        <v>8</v>
      </c>
      <c r="B13" s="1" t="s">
        <v>37</v>
      </c>
      <c r="C13" s="2" t="s">
        <v>38</v>
      </c>
      <c r="D13" s="1" t="s">
        <v>39</v>
      </c>
      <c r="E13" s="1" t="s">
        <v>40</v>
      </c>
      <c r="F13" t="str">
        <f t="shared" si="0"/>
        <v>divya</v>
      </c>
      <c r="G13" t="str">
        <f t="shared" si="1"/>
        <v>ya sri</v>
      </c>
      <c r="H13" t="str">
        <f t="shared" si="2"/>
        <v>vya sri</v>
      </c>
      <c r="I13">
        <f t="shared" si="3"/>
        <v>9</v>
      </c>
      <c r="J13" t="str">
        <f t="shared" si="4"/>
        <v>DIVYA SRI</v>
      </c>
      <c r="K13" t="str">
        <f t="shared" si="5"/>
        <v>divya sri</v>
      </c>
      <c r="L13" t="str">
        <f t="shared" si="6"/>
        <v>Divya Sri</v>
      </c>
      <c r="M13" t="str">
        <f t="shared" si="7"/>
        <v>Salem</v>
      </c>
      <c r="N13" t="str">
        <f t="shared" si="8"/>
        <v>Divya SriSalem</v>
      </c>
      <c r="O13" t="str">
        <f t="shared" si="9"/>
        <v>Divya Sri-Salem-TAB-1008</v>
      </c>
      <c r="P13" t="str">
        <f t="shared" si="10"/>
        <v>divya sri</v>
      </c>
      <c r="Q13" t="str">
        <f t="shared" si="11"/>
        <v>divyamass</v>
      </c>
      <c r="R13" t="str">
        <f t="shared" si="12"/>
        <v>Salem</v>
      </c>
      <c r="S13">
        <f t="shared" si="13"/>
        <v>2</v>
      </c>
      <c r="T13" t="e">
        <f t="shared" si="14"/>
        <v>#VALUE!</v>
      </c>
    </row>
    <row r="14" spans="1:20" x14ac:dyDescent="0.3">
      <c r="A14" s="1">
        <v>9</v>
      </c>
      <c r="B14" s="1" t="s">
        <v>41</v>
      </c>
      <c r="C14" s="2" t="s">
        <v>42</v>
      </c>
      <c r="D14" s="1" t="s">
        <v>43</v>
      </c>
      <c r="E14" s="1" t="s">
        <v>44</v>
      </c>
      <c r="F14" t="str">
        <f t="shared" si="0"/>
        <v>mohan</v>
      </c>
      <c r="G14" t="str">
        <f t="shared" si="1"/>
        <v>n babu</v>
      </c>
      <c r="H14" t="str">
        <f t="shared" si="2"/>
        <v>han bab</v>
      </c>
      <c r="I14">
        <f t="shared" si="3"/>
        <v>10</v>
      </c>
      <c r="J14" t="str">
        <f t="shared" si="4"/>
        <v>MOHAN BABU</v>
      </c>
      <c r="K14" t="str">
        <f t="shared" si="5"/>
        <v>mohan babu</v>
      </c>
      <c r="L14" t="str">
        <f t="shared" si="6"/>
        <v>Mohan Babu</v>
      </c>
      <c r="M14" t="str">
        <f t="shared" si="7"/>
        <v>Erode</v>
      </c>
      <c r="N14" t="str">
        <f t="shared" si="8"/>
        <v>Mohan BabuErode</v>
      </c>
      <c r="O14" t="str">
        <f t="shared" si="9"/>
        <v>Mohan Babu-Erode-ACC-1009</v>
      </c>
      <c r="P14" t="str">
        <f t="shared" si="10"/>
        <v>mohan babu</v>
      </c>
      <c r="Q14" t="str">
        <f t="shared" si="11"/>
        <v>mohanmass</v>
      </c>
      <c r="R14" t="str">
        <f t="shared" si="12"/>
        <v>Erode</v>
      </c>
      <c r="S14" t="e">
        <f t="shared" si="13"/>
        <v>#VALUE!</v>
      </c>
      <c r="T14">
        <f t="shared" si="14"/>
        <v>4</v>
      </c>
    </row>
    <row r="15" spans="1:20" x14ac:dyDescent="0.3">
      <c r="A15" s="1">
        <v>10</v>
      </c>
      <c r="B15" s="1" t="s">
        <v>45</v>
      </c>
      <c r="C15" s="2" t="s">
        <v>46</v>
      </c>
      <c r="D15" s="1" t="s">
        <v>47</v>
      </c>
      <c r="E15" s="1" t="s">
        <v>48</v>
      </c>
      <c r="F15" t="str">
        <f t="shared" si="0"/>
        <v>deepa</v>
      </c>
      <c r="G15" t="str">
        <f t="shared" si="1"/>
        <v xml:space="preserve"> kumar</v>
      </c>
      <c r="H15" t="str">
        <f t="shared" si="2"/>
        <v>epak ku</v>
      </c>
      <c r="I15">
        <f t="shared" si="3"/>
        <v>12</v>
      </c>
      <c r="J15" t="str">
        <f t="shared" si="4"/>
        <v>DEEPAK KUMAR</v>
      </c>
      <c r="K15" t="str">
        <f t="shared" si="5"/>
        <v>deepak kumar</v>
      </c>
      <c r="L15" t="str">
        <f t="shared" si="6"/>
        <v>Deepak Kumar</v>
      </c>
      <c r="M15" t="str">
        <f t="shared" si="7"/>
        <v>Trichy</v>
      </c>
      <c r="N15" t="str">
        <f t="shared" si="8"/>
        <v>Deepak KumarTrichy</v>
      </c>
      <c r="O15" t="str">
        <f t="shared" si="9"/>
        <v>Deepak Kumar-Trichy-CAM-1010</v>
      </c>
      <c r="P15" t="str">
        <f t="shared" si="10"/>
        <v>deepak kumar</v>
      </c>
      <c r="Q15" t="str">
        <f t="shared" si="11"/>
        <v>deepamass</v>
      </c>
      <c r="R15" t="str">
        <f t="shared" si="12"/>
        <v>Trichy</v>
      </c>
      <c r="S15" t="e">
        <f t="shared" si="13"/>
        <v>#VALUE!</v>
      </c>
      <c r="T15" t="e">
        <f t="shared" si="14"/>
        <v>#VALUE!</v>
      </c>
    </row>
    <row r="16" spans="1:20" x14ac:dyDescent="0.3">
      <c r="A16" s="1">
        <v>11</v>
      </c>
      <c r="B16" s="1" t="s">
        <v>49</v>
      </c>
      <c r="C16" s="2" t="s">
        <v>50</v>
      </c>
      <c r="D16" s="1" t="s">
        <v>10</v>
      </c>
      <c r="E16" s="1" t="s">
        <v>51</v>
      </c>
      <c r="F16" t="str">
        <f t="shared" si="0"/>
        <v>nisha</v>
      </c>
      <c r="G16" t="str">
        <f t="shared" si="1"/>
        <v xml:space="preserve"> patel</v>
      </c>
      <c r="H16" t="str">
        <f t="shared" si="2"/>
        <v>sha pat</v>
      </c>
      <c r="I16">
        <f t="shared" si="3"/>
        <v>11</v>
      </c>
      <c r="J16" t="str">
        <f t="shared" si="4"/>
        <v>NISHA PATEL</v>
      </c>
      <c r="K16" t="str">
        <f t="shared" si="5"/>
        <v>nisha patel</v>
      </c>
      <c r="L16" t="str">
        <f t="shared" si="6"/>
        <v>Nisha Patel</v>
      </c>
      <c r="M16" t="str">
        <f t="shared" si="7"/>
        <v>Pune</v>
      </c>
      <c r="N16" t="str">
        <f t="shared" si="8"/>
        <v>Nisha PatelPune</v>
      </c>
      <c r="O16" t="str">
        <f t="shared" si="9"/>
        <v>Nisha Patel-Pune-MOB-1011</v>
      </c>
      <c r="P16" t="str">
        <f t="shared" si="10"/>
        <v>nisha patel</v>
      </c>
      <c r="Q16" t="str">
        <f t="shared" si="11"/>
        <v>nishamass</v>
      </c>
      <c r="R16" t="str">
        <f t="shared" si="12"/>
        <v>Pune</v>
      </c>
      <c r="S16" t="e">
        <f t="shared" si="13"/>
        <v>#VALUE!</v>
      </c>
      <c r="T16" t="e">
        <f t="shared" si="14"/>
        <v>#VALUE!</v>
      </c>
    </row>
    <row r="17" spans="1:20" x14ac:dyDescent="0.3">
      <c r="A17" s="1">
        <v>12</v>
      </c>
      <c r="B17" s="1" t="s">
        <v>52</v>
      </c>
      <c r="C17" s="2" t="s">
        <v>53</v>
      </c>
      <c r="D17" s="1" t="s">
        <v>54</v>
      </c>
      <c r="E17" s="1" t="s">
        <v>55</v>
      </c>
      <c r="F17" t="str">
        <f t="shared" si="0"/>
        <v>aravi</v>
      </c>
      <c r="G17" t="str">
        <f t="shared" si="1"/>
        <v>vind r</v>
      </c>
      <c r="H17" t="str">
        <f t="shared" si="2"/>
        <v>avind r</v>
      </c>
      <c r="I17">
        <f t="shared" si="3"/>
        <v>9</v>
      </c>
      <c r="J17" t="str">
        <f t="shared" si="4"/>
        <v>ARAVIND R</v>
      </c>
      <c r="K17" t="str">
        <f t="shared" si="5"/>
        <v>aravind r</v>
      </c>
      <c r="L17" t="str">
        <f t="shared" si="6"/>
        <v>Aravind R</v>
      </c>
      <c r="M17" t="str">
        <f t="shared" si="7"/>
        <v>Vellore</v>
      </c>
      <c r="N17" t="str">
        <f t="shared" si="8"/>
        <v>Aravind RVellore</v>
      </c>
      <c r="O17" t="str">
        <f t="shared" si="9"/>
        <v>Aravind R-Vellore-LAP-1012</v>
      </c>
      <c r="P17" t="str">
        <f t="shared" si="10"/>
        <v>aravind r</v>
      </c>
      <c r="Q17" t="str">
        <f t="shared" si="11"/>
        <v>aravimass</v>
      </c>
      <c r="R17" t="str">
        <f t="shared" si="12"/>
        <v>Vellore</v>
      </c>
      <c r="S17" t="e">
        <f t="shared" si="13"/>
        <v>#VALUE!</v>
      </c>
      <c r="T17" t="e">
        <f t="shared" si="14"/>
        <v>#VALUE!</v>
      </c>
    </row>
    <row r="18" spans="1:20" x14ac:dyDescent="0.3">
      <c r="A18" s="1">
        <v>13</v>
      </c>
      <c r="B18" s="1" t="s">
        <v>56</v>
      </c>
      <c r="C18" s="2" t="s">
        <v>57</v>
      </c>
      <c r="D18" s="1" t="s">
        <v>58</v>
      </c>
      <c r="E18" s="1" t="s">
        <v>59</v>
      </c>
      <c r="F18" t="str">
        <f t="shared" si="0"/>
        <v>sweth</v>
      </c>
      <c r="G18" t="str">
        <f t="shared" si="1"/>
        <v>a mani</v>
      </c>
      <c r="H18" t="str">
        <f t="shared" si="2"/>
        <v>etha ma</v>
      </c>
      <c r="I18">
        <f t="shared" si="3"/>
        <v>11</v>
      </c>
      <c r="J18" t="str">
        <f t="shared" si="4"/>
        <v>SWETHA MANI</v>
      </c>
      <c r="K18" t="str">
        <f t="shared" si="5"/>
        <v>swetha mani</v>
      </c>
      <c r="L18" t="str">
        <f t="shared" si="6"/>
        <v>Swetha Mani</v>
      </c>
      <c r="M18" t="str">
        <f t="shared" si="7"/>
        <v>Tirupur</v>
      </c>
      <c r="N18" t="str">
        <f t="shared" si="8"/>
        <v>Swetha ManiTirupur</v>
      </c>
      <c r="O18" t="str">
        <f t="shared" si="9"/>
        <v>Swetha Mani-Tirupur-TAB-1013</v>
      </c>
      <c r="P18" t="str">
        <f t="shared" si="10"/>
        <v>swetha mani</v>
      </c>
      <c r="Q18" t="str">
        <f t="shared" si="11"/>
        <v>swethmass</v>
      </c>
      <c r="R18" t="str">
        <f t="shared" si="12"/>
        <v>Tirupur</v>
      </c>
      <c r="S18" t="e">
        <f t="shared" si="13"/>
        <v>#VALUE!</v>
      </c>
      <c r="T18" t="e">
        <f t="shared" si="14"/>
        <v>#VALUE!</v>
      </c>
    </row>
    <row r="19" spans="1:20" x14ac:dyDescent="0.3">
      <c r="A19" s="1">
        <v>14</v>
      </c>
      <c r="B19" s="1" t="s">
        <v>60</v>
      </c>
      <c r="C19" s="2" t="s">
        <v>61</v>
      </c>
      <c r="D19" s="1" t="s">
        <v>62</v>
      </c>
      <c r="E19" s="1" t="s">
        <v>63</v>
      </c>
      <c r="F19" t="str">
        <f t="shared" si="0"/>
        <v xml:space="preserve">hari </v>
      </c>
      <c r="G19" t="str">
        <f t="shared" si="1"/>
        <v>rishna</v>
      </c>
      <c r="H19" t="str">
        <f t="shared" si="2"/>
        <v>ri kris</v>
      </c>
      <c r="I19">
        <f t="shared" si="3"/>
        <v>12</v>
      </c>
      <c r="J19" t="str">
        <f t="shared" si="4"/>
        <v>HARI KRISHNA</v>
      </c>
      <c r="K19" t="str">
        <f t="shared" si="5"/>
        <v>hari krishna</v>
      </c>
      <c r="L19" t="str">
        <f t="shared" si="6"/>
        <v>Hari Krishna</v>
      </c>
      <c r="M19" t="str">
        <f t="shared" si="7"/>
        <v>Kochi</v>
      </c>
      <c r="N19" t="str">
        <f t="shared" si="8"/>
        <v>Hari KrishnaKochi</v>
      </c>
      <c r="O19" t="str">
        <f t="shared" si="9"/>
        <v>Hari Krishna-Kochi-ACC-1014</v>
      </c>
      <c r="P19" t="str">
        <f t="shared" si="10"/>
        <v>hari krishna</v>
      </c>
      <c r="Q19" t="str">
        <f t="shared" si="11"/>
        <v>hari mass</v>
      </c>
      <c r="R19" t="str">
        <f t="shared" si="12"/>
        <v>Kochi</v>
      </c>
      <c r="S19" t="e">
        <f t="shared" si="13"/>
        <v>#VALUE!</v>
      </c>
      <c r="T19" t="e">
        <f t="shared" si="14"/>
        <v>#VALUE!</v>
      </c>
    </row>
    <row r="20" spans="1:20" x14ac:dyDescent="0.3">
      <c r="A20" s="1">
        <v>15</v>
      </c>
      <c r="B20" s="1" t="s">
        <v>64</v>
      </c>
      <c r="C20" s="2" t="s">
        <v>65</v>
      </c>
      <c r="D20" s="1" t="s">
        <v>66</v>
      </c>
      <c r="E20" s="1" t="s">
        <v>67</v>
      </c>
      <c r="F20" t="str">
        <f t="shared" si="0"/>
        <v>pooja</v>
      </c>
      <c r="G20" t="str">
        <f t="shared" si="1"/>
        <v xml:space="preserve"> singh</v>
      </c>
      <c r="H20" t="str">
        <f t="shared" si="2"/>
        <v>oja sin</v>
      </c>
      <c r="I20">
        <f t="shared" si="3"/>
        <v>11</v>
      </c>
      <c r="J20" t="str">
        <f t="shared" si="4"/>
        <v>POOJA SINGH</v>
      </c>
      <c r="K20" t="str">
        <f t="shared" si="5"/>
        <v>pooja singh</v>
      </c>
      <c r="L20" t="str">
        <f t="shared" si="6"/>
        <v>Pooja Singh</v>
      </c>
      <c r="M20" t="str">
        <f t="shared" si="7"/>
        <v>Mysore</v>
      </c>
      <c r="N20" t="str">
        <f t="shared" si="8"/>
        <v>Pooja SinghMysore</v>
      </c>
      <c r="O20" t="str">
        <f t="shared" si="9"/>
        <v>Pooja Singh-Mysore-CAM-1015</v>
      </c>
      <c r="P20" t="str">
        <f t="shared" si="10"/>
        <v>pooja singh</v>
      </c>
      <c r="Q20" t="str">
        <f t="shared" si="11"/>
        <v>poojamass</v>
      </c>
      <c r="R20" t="str">
        <f t="shared" si="12"/>
        <v>Mysore</v>
      </c>
      <c r="S20" t="e">
        <f t="shared" si="13"/>
        <v>#VALUE!</v>
      </c>
      <c r="T20" t="e">
        <f t="shared" si="14"/>
        <v>#VALUE!</v>
      </c>
    </row>
    <row r="21" spans="1:20" x14ac:dyDescent="0.3">
      <c r="A21" s="1">
        <v>16</v>
      </c>
      <c r="B21" s="1" t="s">
        <v>68</v>
      </c>
      <c r="C21" s="2" t="s">
        <v>69</v>
      </c>
      <c r="D21" s="1" t="s">
        <v>13</v>
      </c>
      <c r="E21" s="1" t="s">
        <v>70</v>
      </c>
      <c r="F21" t="str">
        <f t="shared" si="0"/>
        <v>rohit</v>
      </c>
      <c r="G21" t="str">
        <f t="shared" si="1"/>
        <v xml:space="preserve"> verma</v>
      </c>
      <c r="H21" t="str">
        <f t="shared" si="2"/>
        <v>hit ver</v>
      </c>
      <c r="I21">
        <f t="shared" si="3"/>
        <v>11</v>
      </c>
      <c r="J21" t="str">
        <f t="shared" si="4"/>
        <v>ROHIT VERMA</v>
      </c>
      <c r="K21" t="str">
        <f t="shared" si="5"/>
        <v>rohit verma</v>
      </c>
      <c r="L21" t="str">
        <f t="shared" si="6"/>
        <v>Rohit Verma</v>
      </c>
      <c r="M21" t="str">
        <f t="shared" si="7"/>
        <v>Jaipur</v>
      </c>
      <c r="N21" t="str">
        <f t="shared" si="8"/>
        <v>Rohit VermaJaipur</v>
      </c>
      <c r="O21" t="str">
        <f t="shared" si="9"/>
        <v>Rohit Verma-Jaipur-MOB-1016</v>
      </c>
      <c r="P21" t="str">
        <f t="shared" si="10"/>
        <v>rohit verma</v>
      </c>
      <c r="Q21" t="str">
        <f t="shared" si="11"/>
        <v>rohitmass</v>
      </c>
      <c r="R21" t="str">
        <f t="shared" si="12"/>
        <v>Jaipur</v>
      </c>
      <c r="S21">
        <f t="shared" si="13"/>
        <v>2</v>
      </c>
      <c r="T21" t="e">
        <f t="shared" si="14"/>
        <v>#VALUE!</v>
      </c>
    </row>
    <row r="22" spans="1:20" x14ac:dyDescent="0.3">
      <c r="A22" s="1">
        <v>17</v>
      </c>
      <c r="B22" s="1" t="s">
        <v>71</v>
      </c>
      <c r="C22" s="2" t="s">
        <v>72</v>
      </c>
      <c r="D22" s="1" t="s">
        <v>6</v>
      </c>
      <c r="E22" s="1" t="s">
        <v>73</v>
      </c>
      <c r="F22" t="str">
        <f t="shared" si="0"/>
        <v>keert</v>
      </c>
      <c r="G22" t="str">
        <f t="shared" si="1"/>
        <v>rthi s</v>
      </c>
      <c r="H22" t="str">
        <f t="shared" si="2"/>
        <v>erthi s</v>
      </c>
      <c r="I22">
        <f t="shared" si="3"/>
        <v>9</v>
      </c>
      <c r="J22" t="str">
        <f t="shared" si="4"/>
        <v>KEERTHI S</v>
      </c>
      <c r="K22" t="str">
        <f t="shared" si="5"/>
        <v>keerthi s</v>
      </c>
      <c r="L22" t="str">
        <f t="shared" si="6"/>
        <v>Keerthi S</v>
      </c>
      <c r="M22" t="str">
        <f t="shared" si="7"/>
        <v>Chennai</v>
      </c>
      <c r="N22" t="str">
        <f t="shared" si="8"/>
        <v>Keerthi SChennai</v>
      </c>
      <c r="O22" t="str">
        <f t="shared" si="9"/>
        <v>Keerthi S-Chennai-LAP-1017</v>
      </c>
      <c r="P22" t="str">
        <f t="shared" si="10"/>
        <v>keerthi s</v>
      </c>
      <c r="Q22" t="str">
        <f t="shared" si="11"/>
        <v>keertmass</v>
      </c>
      <c r="R22" t="str">
        <f t="shared" si="12"/>
        <v>Chennai</v>
      </c>
      <c r="S22">
        <f t="shared" si="13"/>
        <v>6</v>
      </c>
      <c r="T22" t="e">
        <f t="shared" si="14"/>
        <v>#VALUE!</v>
      </c>
    </row>
    <row r="23" spans="1:20" x14ac:dyDescent="0.3">
      <c r="A23" s="1">
        <v>18</v>
      </c>
      <c r="B23" s="1" t="s">
        <v>74</v>
      </c>
      <c r="C23" s="2" t="s">
        <v>75</v>
      </c>
      <c r="D23" s="1" t="s">
        <v>21</v>
      </c>
      <c r="E23" s="1" t="s">
        <v>76</v>
      </c>
      <c r="F23" t="str">
        <f t="shared" si="0"/>
        <v>sanja</v>
      </c>
      <c r="G23" t="str">
        <f t="shared" si="1"/>
        <v xml:space="preserve"> kumar</v>
      </c>
      <c r="H23" t="str">
        <f t="shared" si="2"/>
        <v>njay ku</v>
      </c>
      <c r="I23">
        <f t="shared" si="3"/>
        <v>12</v>
      </c>
      <c r="J23" t="str">
        <f t="shared" si="4"/>
        <v>SANJAY KUMAR</v>
      </c>
      <c r="K23" t="str">
        <f t="shared" si="5"/>
        <v>sanjay kumar</v>
      </c>
      <c r="L23" t="str">
        <f t="shared" si="6"/>
        <v>Sanjay Kumar</v>
      </c>
      <c r="M23" t="str">
        <f t="shared" si="7"/>
        <v>Madurai</v>
      </c>
      <c r="N23" t="str">
        <f t="shared" si="8"/>
        <v>Sanjay KumarMadurai</v>
      </c>
      <c r="O23" t="str">
        <f t="shared" si="9"/>
        <v>Sanjay Kumar-Madurai-TAB-1018</v>
      </c>
      <c r="P23" t="str">
        <f t="shared" si="10"/>
        <v>sanjay kumar</v>
      </c>
      <c r="Q23" t="str">
        <f t="shared" si="11"/>
        <v>sanjamass</v>
      </c>
      <c r="R23" t="str">
        <f t="shared" si="12"/>
        <v>Madurai</v>
      </c>
      <c r="S23">
        <f t="shared" si="13"/>
        <v>2</v>
      </c>
      <c r="T23">
        <f t="shared" si="14"/>
        <v>3</v>
      </c>
    </row>
    <row r="24" spans="1:20" x14ac:dyDescent="0.3">
      <c r="A24" s="1">
        <v>19</v>
      </c>
      <c r="B24" s="1" t="s">
        <v>77</v>
      </c>
      <c r="C24" s="2" t="s">
        <v>78</v>
      </c>
      <c r="D24" s="1" t="s">
        <v>25</v>
      </c>
      <c r="E24" s="1" t="s">
        <v>79</v>
      </c>
      <c r="F24" t="str">
        <f t="shared" si="0"/>
        <v>lavan</v>
      </c>
      <c r="G24" t="str">
        <f t="shared" si="1"/>
        <v>a devi</v>
      </c>
      <c r="H24" t="str">
        <f t="shared" si="2"/>
        <v>vanya d</v>
      </c>
      <c r="I24">
        <f t="shared" si="3"/>
        <v>12</v>
      </c>
      <c r="J24" t="str">
        <f t="shared" si="4"/>
        <v>LAVANYA DEVI</v>
      </c>
      <c r="K24" t="str">
        <f t="shared" si="5"/>
        <v>lavanya devi</v>
      </c>
      <c r="L24" t="str">
        <f t="shared" si="6"/>
        <v>Lavanya Devi</v>
      </c>
      <c r="M24" t="str">
        <f t="shared" si="7"/>
        <v>Bangalore</v>
      </c>
      <c r="N24" t="str">
        <f t="shared" si="8"/>
        <v>Lavanya DeviBangalore</v>
      </c>
      <c r="O24" t="str">
        <f t="shared" si="9"/>
        <v>Lavanya Devi-Bangalore-ACC-1019</v>
      </c>
      <c r="P24" t="str">
        <f t="shared" si="10"/>
        <v>lavanya devi</v>
      </c>
      <c r="Q24" t="str">
        <f t="shared" si="11"/>
        <v>lavanmass</v>
      </c>
      <c r="R24" t="str">
        <f t="shared" si="12"/>
        <v>Bangalore</v>
      </c>
      <c r="S24">
        <f t="shared" si="13"/>
        <v>2</v>
      </c>
      <c r="T24" t="e">
        <f t="shared" si="14"/>
        <v>#VALUE!</v>
      </c>
    </row>
    <row r="25" spans="1:20" x14ac:dyDescent="0.3">
      <c r="A25" s="1">
        <v>20</v>
      </c>
      <c r="B25" s="1" t="s">
        <v>80</v>
      </c>
      <c r="C25" s="2" t="s">
        <v>81</v>
      </c>
      <c r="D25" s="1" t="s">
        <v>7</v>
      </c>
      <c r="E25" s="1" t="s">
        <v>82</v>
      </c>
      <c r="F25" t="str">
        <f t="shared" si="0"/>
        <v>navee</v>
      </c>
      <c r="G25" t="str">
        <f t="shared" si="1"/>
        <v>en raj</v>
      </c>
      <c r="H25" t="str">
        <f t="shared" si="2"/>
        <v>veen ra</v>
      </c>
      <c r="I25">
        <f t="shared" si="3"/>
        <v>10</v>
      </c>
      <c r="J25" t="str">
        <f t="shared" si="4"/>
        <v>NAVEEN RAJ</v>
      </c>
      <c r="K25" t="str">
        <f t="shared" si="5"/>
        <v>naveen raj</v>
      </c>
      <c r="L25" t="str">
        <f t="shared" si="6"/>
        <v>Naveen Raj</v>
      </c>
      <c r="M25" t="str">
        <f t="shared" si="7"/>
        <v>Hyderabad</v>
      </c>
      <c r="N25" t="str">
        <f t="shared" si="8"/>
        <v>Naveen RajHyderabad</v>
      </c>
      <c r="O25" t="str">
        <f t="shared" si="9"/>
        <v>Naveen Raj-Hyderabad-CAM-1020</v>
      </c>
      <c r="P25" t="str">
        <f t="shared" si="10"/>
        <v>naveen raj</v>
      </c>
      <c r="Q25" t="str">
        <f t="shared" si="11"/>
        <v>naveemass</v>
      </c>
      <c r="R25" t="str">
        <f t="shared" si="12"/>
        <v>Hyderabad</v>
      </c>
      <c r="S25">
        <f t="shared" si="13"/>
        <v>6</v>
      </c>
      <c r="T25">
        <f t="shared" si="14"/>
        <v>3</v>
      </c>
    </row>
    <row r="26" spans="1:20" x14ac:dyDescent="0.3">
      <c r="A26" s="1">
        <v>21</v>
      </c>
      <c r="B26" s="1" t="s">
        <v>83</v>
      </c>
      <c r="C26" s="2" t="s">
        <v>84</v>
      </c>
      <c r="D26" s="1" t="s">
        <v>9</v>
      </c>
      <c r="E26" s="1" t="s">
        <v>85</v>
      </c>
      <c r="F26" t="str">
        <f t="shared" si="0"/>
        <v>monik</v>
      </c>
      <c r="G26" t="str">
        <f t="shared" si="1"/>
        <v>sharma</v>
      </c>
      <c r="H26" t="str">
        <f t="shared" si="2"/>
        <v>nika sh</v>
      </c>
      <c r="I26">
        <f t="shared" si="3"/>
        <v>13</v>
      </c>
      <c r="J26" t="str">
        <f t="shared" si="4"/>
        <v>MONIKA SHARMA</v>
      </c>
      <c r="K26" t="str">
        <f t="shared" si="5"/>
        <v>monika sharma</v>
      </c>
      <c r="L26" t="str">
        <f t="shared" si="6"/>
        <v>Monika Sharma</v>
      </c>
      <c r="M26" t="str">
        <f t="shared" si="7"/>
        <v>Delhi</v>
      </c>
      <c r="N26" t="str">
        <f t="shared" si="8"/>
        <v>Monika SharmaDelhi</v>
      </c>
      <c r="O26" t="str">
        <f t="shared" si="9"/>
        <v>Monika Sharma-Delhi-MOB-1021</v>
      </c>
      <c r="P26" t="str">
        <f t="shared" si="10"/>
        <v>monika sharma</v>
      </c>
      <c r="Q26" t="str">
        <f t="shared" si="11"/>
        <v>monikmassa</v>
      </c>
      <c r="R26" t="str">
        <f t="shared" si="12"/>
        <v>Delhi</v>
      </c>
      <c r="S26" t="e">
        <f t="shared" si="13"/>
        <v>#VALUE!</v>
      </c>
      <c r="T26">
        <f t="shared" si="14"/>
        <v>1</v>
      </c>
    </row>
    <row r="27" spans="1:20" x14ac:dyDescent="0.3">
      <c r="A27" s="1">
        <v>22</v>
      </c>
      <c r="B27" s="1" t="s">
        <v>86</v>
      </c>
      <c r="C27" s="2" t="s">
        <v>87</v>
      </c>
      <c r="D27" s="1" t="s">
        <v>8</v>
      </c>
      <c r="E27" s="1" t="s">
        <v>88</v>
      </c>
      <c r="F27" t="str">
        <f t="shared" si="0"/>
        <v>harsh</v>
      </c>
      <c r="G27" t="str">
        <f t="shared" si="1"/>
        <v xml:space="preserve"> gupta</v>
      </c>
      <c r="H27" t="str">
        <f t="shared" si="2"/>
        <v>rshit g</v>
      </c>
      <c r="I27">
        <f t="shared" si="3"/>
        <v>13</v>
      </c>
      <c r="J27" t="str">
        <f t="shared" si="4"/>
        <v>HARSHIT GUPTA</v>
      </c>
      <c r="K27" t="str">
        <f t="shared" si="5"/>
        <v>harshit gupta</v>
      </c>
      <c r="L27" t="str">
        <f t="shared" si="6"/>
        <v>Harshit Gupta</v>
      </c>
      <c r="M27" t="str">
        <f t="shared" si="7"/>
        <v>Mumbai</v>
      </c>
      <c r="N27" t="str">
        <f t="shared" si="8"/>
        <v>Harshit GuptaMumbai</v>
      </c>
      <c r="O27" t="str">
        <f t="shared" si="9"/>
        <v>Harshit Gupta-Mumbai-LAP-1022</v>
      </c>
      <c r="P27" t="str">
        <f t="shared" si="10"/>
        <v>harshit gupta</v>
      </c>
      <c r="Q27" t="str">
        <f t="shared" si="11"/>
        <v>harshmassa</v>
      </c>
      <c r="R27" t="str">
        <f t="shared" si="12"/>
        <v>Mumbai</v>
      </c>
      <c r="S27">
        <f t="shared" si="13"/>
        <v>5</v>
      </c>
      <c r="T27" t="e">
        <f t="shared" si="14"/>
        <v>#VALUE!</v>
      </c>
    </row>
    <row r="28" spans="1:20" x14ac:dyDescent="0.3">
      <c r="A28" s="1">
        <v>23</v>
      </c>
      <c r="B28" s="1" t="s">
        <v>89</v>
      </c>
      <c r="C28" s="2" t="s">
        <v>90</v>
      </c>
      <c r="D28" s="1" t="s">
        <v>14</v>
      </c>
      <c r="E28" s="1" t="s">
        <v>91</v>
      </c>
      <c r="F28" t="str">
        <f t="shared" si="0"/>
        <v>rames</v>
      </c>
      <c r="G28" t="str">
        <f t="shared" si="1"/>
        <v>h babu</v>
      </c>
      <c r="H28" t="str">
        <f t="shared" si="2"/>
        <v>mesh ba</v>
      </c>
      <c r="I28">
        <f t="shared" si="3"/>
        <v>11</v>
      </c>
      <c r="J28" t="str">
        <f t="shared" si="4"/>
        <v>RAMESH BABU</v>
      </c>
      <c r="K28" t="str">
        <f t="shared" si="5"/>
        <v>ramesh babu</v>
      </c>
      <c r="L28" t="str">
        <f t="shared" si="6"/>
        <v>Ramesh Babu</v>
      </c>
      <c r="M28" t="str">
        <f t="shared" si="7"/>
        <v>Coimbatore</v>
      </c>
      <c r="N28" t="str">
        <f t="shared" si="8"/>
        <v>Ramesh BabuCoimbatore</v>
      </c>
      <c r="O28" t="str">
        <f t="shared" si="9"/>
        <v>Ramesh Babu-Coimbatore-TAB-1023</v>
      </c>
      <c r="P28" t="str">
        <f t="shared" si="10"/>
        <v>ramesh babu</v>
      </c>
      <c r="Q28" t="str">
        <f t="shared" si="11"/>
        <v>ramesmass</v>
      </c>
      <c r="R28" t="str">
        <f t="shared" si="12"/>
        <v>Coimbatore</v>
      </c>
      <c r="S28">
        <f t="shared" si="13"/>
        <v>6</v>
      </c>
      <c r="T28" t="e">
        <f t="shared" si="14"/>
        <v>#VALUE!</v>
      </c>
    </row>
    <row r="29" spans="1:20" x14ac:dyDescent="0.3">
      <c r="A29" s="1">
        <v>24</v>
      </c>
      <c r="B29" s="1" t="s">
        <v>92</v>
      </c>
      <c r="C29" s="2" t="s">
        <v>93</v>
      </c>
      <c r="D29" s="1" t="s">
        <v>39</v>
      </c>
      <c r="E29" s="1" t="s">
        <v>94</v>
      </c>
      <c r="F29" t="str">
        <f t="shared" si="0"/>
        <v>sruth</v>
      </c>
      <c r="G29" t="str">
        <f t="shared" si="1"/>
        <v xml:space="preserve"> reddy</v>
      </c>
      <c r="H29" t="str">
        <f t="shared" si="2"/>
        <v>uthi re</v>
      </c>
      <c r="I29">
        <f t="shared" si="3"/>
        <v>12</v>
      </c>
      <c r="J29" t="str">
        <f t="shared" si="4"/>
        <v>SRUTHI REDDY</v>
      </c>
      <c r="K29" t="str">
        <f t="shared" si="5"/>
        <v>sruthi reddy</v>
      </c>
      <c r="L29" t="str">
        <f t="shared" si="6"/>
        <v>Sruthi Reddy</v>
      </c>
      <c r="M29" t="str">
        <f t="shared" si="7"/>
        <v>Salem</v>
      </c>
      <c r="N29" t="str">
        <f t="shared" si="8"/>
        <v>Sruthi ReddySalem</v>
      </c>
      <c r="O29" t="str">
        <f t="shared" si="9"/>
        <v>Sruthi Reddy-Salem-ACC-1024</v>
      </c>
      <c r="P29" t="str">
        <f t="shared" si="10"/>
        <v>sruthi reddy</v>
      </c>
      <c r="Q29" t="str">
        <f t="shared" si="11"/>
        <v>sruthmass</v>
      </c>
      <c r="R29" t="str">
        <f t="shared" si="12"/>
        <v>Salem</v>
      </c>
      <c r="S29">
        <f t="shared" si="13"/>
        <v>2</v>
      </c>
      <c r="T29" t="e">
        <f t="shared" si="14"/>
        <v>#VALUE!</v>
      </c>
    </row>
    <row r="30" spans="1:20" x14ac:dyDescent="0.3">
      <c r="A30" s="1">
        <v>25</v>
      </c>
      <c r="B30" s="1" t="s">
        <v>95</v>
      </c>
      <c r="C30" s="2" t="s">
        <v>96</v>
      </c>
      <c r="D30" s="1" t="s">
        <v>43</v>
      </c>
      <c r="E30" s="1" t="s">
        <v>97</v>
      </c>
      <c r="F30" t="str">
        <f t="shared" si="0"/>
        <v>dhanu</v>
      </c>
      <c r="G30" t="str">
        <f t="shared" si="1"/>
        <v>nush k</v>
      </c>
      <c r="H30" t="str">
        <f t="shared" si="2"/>
        <v>anush k</v>
      </c>
      <c r="I30">
        <f t="shared" si="3"/>
        <v>9</v>
      </c>
      <c r="J30" t="str">
        <f t="shared" si="4"/>
        <v>DHANUSH K</v>
      </c>
      <c r="K30" t="str">
        <f t="shared" si="5"/>
        <v>dhanush k</v>
      </c>
      <c r="L30" t="str">
        <f t="shared" si="6"/>
        <v>Dhanush K</v>
      </c>
      <c r="M30" t="str">
        <f t="shared" si="7"/>
        <v>Erode</v>
      </c>
      <c r="N30" t="str">
        <f t="shared" si="8"/>
        <v>Dhanush KErode</v>
      </c>
      <c r="O30" t="str">
        <f t="shared" si="9"/>
        <v>Dhanush K-Erode-CAM-1025</v>
      </c>
      <c r="P30" t="str">
        <f t="shared" si="10"/>
        <v>dhanush k</v>
      </c>
      <c r="Q30" t="str">
        <f t="shared" si="11"/>
        <v>dhanumass</v>
      </c>
      <c r="R30" t="str">
        <f t="shared" si="12"/>
        <v>Erode</v>
      </c>
      <c r="S30" t="e">
        <f t="shared" si="13"/>
        <v>#VALUE!</v>
      </c>
      <c r="T30">
        <f t="shared" si="14"/>
        <v>4</v>
      </c>
    </row>
    <row r="31" spans="1:20" x14ac:dyDescent="0.3">
      <c r="A31" s="1">
        <v>26</v>
      </c>
      <c r="B31" s="1" t="s">
        <v>98</v>
      </c>
      <c r="C31" s="2" t="s">
        <v>99</v>
      </c>
      <c r="D31" s="1" t="s">
        <v>47</v>
      </c>
      <c r="E31" s="1" t="s">
        <v>100</v>
      </c>
      <c r="F31" t="str">
        <f t="shared" si="0"/>
        <v>meena</v>
      </c>
      <c r="G31" t="str">
        <f t="shared" si="1"/>
        <v>akshmi</v>
      </c>
      <c r="H31" t="str">
        <f t="shared" si="2"/>
        <v>ena lak</v>
      </c>
      <c r="I31">
        <f t="shared" si="3"/>
        <v>13</v>
      </c>
      <c r="J31" t="str">
        <f t="shared" si="4"/>
        <v>MEENA LAKSHMI</v>
      </c>
      <c r="K31" t="str">
        <f t="shared" si="5"/>
        <v>meena lakshmi</v>
      </c>
      <c r="L31" t="str">
        <f t="shared" si="6"/>
        <v>Meena Lakshmi</v>
      </c>
      <c r="M31" t="str">
        <f t="shared" si="7"/>
        <v>Trichy</v>
      </c>
      <c r="N31" t="str">
        <f t="shared" si="8"/>
        <v>Meena LakshmiTrichy</v>
      </c>
      <c r="O31" t="str">
        <f t="shared" si="9"/>
        <v>Meena Lakshmi-Trichy-MOB-1026</v>
      </c>
      <c r="P31" t="str">
        <f t="shared" si="10"/>
        <v>meena lakshmi</v>
      </c>
      <c r="Q31" t="str">
        <f t="shared" si="11"/>
        <v>meenamassi</v>
      </c>
      <c r="R31" t="str">
        <f t="shared" si="12"/>
        <v>Trichy</v>
      </c>
      <c r="S31" t="e">
        <f t="shared" si="13"/>
        <v>#VALUE!</v>
      </c>
      <c r="T31" t="e">
        <f t="shared" si="14"/>
        <v>#VALUE!</v>
      </c>
    </row>
    <row r="32" spans="1:20" x14ac:dyDescent="0.3">
      <c r="A32" s="1">
        <v>27</v>
      </c>
      <c r="B32" s="1" t="s">
        <v>101</v>
      </c>
      <c r="C32" s="2" t="s">
        <v>102</v>
      </c>
      <c r="D32" s="1" t="s">
        <v>10</v>
      </c>
      <c r="E32" s="1" t="s">
        <v>103</v>
      </c>
      <c r="F32" t="str">
        <f t="shared" si="0"/>
        <v xml:space="preserve">ajay </v>
      </c>
      <c r="G32" t="str">
        <f t="shared" si="1"/>
        <v xml:space="preserve"> kumar</v>
      </c>
      <c r="H32" t="str">
        <f t="shared" si="2"/>
        <v>ay kuma</v>
      </c>
      <c r="I32">
        <f t="shared" si="3"/>
        <v>10</v>
      </c>
      <c r="J32" t="str">
        <f t="shared" si="4"/>
        <v>AJAY KUMAR</v>
      </c>
      <c r="K32" t="str">
        <f t="shared" si="5"/>
        <v>ajay kumar</v>
      </c>
      <c r="L32" t="str">
        <f t="shared" si="6"/>
        <v>Ajay Kumar</v>
      </c>
      <c r="M32" t="str">
        <f t="shared" si="7"/>
        <v>Pune</v>
      </c>
      <c r="N32" t="str">
        <f t="shared" si="8"/>
        <v>Ajay KumarPune</v>
      </c>
      <c r="O32" t="str">
        <f t="shared" si="9"/>
        <v>Ajay Kumar-Pune-LAP-1027</v>
      </c>
      <c r="P32" t="str">
        <f t="shared" si="10"/>
        <v>ajay kumar</v>
      </c>
      <c r="Q32" t="str">
        <f t="shared" si="11"/>
        <v>ajay mass</v>
      </c>
      <c r="R32" t="str">
        <f t="shared" si="12"/>
        <v>Pune</v>
      </c>
      <c r="S32" t="e">
        <f t="shared" si="13"/>
        <v>#VALUE!</v>
      </c>
      <c r="T32" t="e">
        <f t="shared" si="14"/>
        <v>#VALUE!</v>
      </c>
    </row>
    <row r="33" spans="1:20" x14ac:dyDescent="0.3">
      <c r="A33" s="1">
        <v>28</v>
      </c>
      <c r="B33" s="1" t="s">
        <v>104</v>
      </c>
      <c r="C33" s="2" t="s">
        <v>105</v>
      </c>
      <c r="D33" s="1" t="s">
        <v>54</v>
      </c>
      <c r="E33" s="1" t="s">
        <v>106</v>
      </c>
      <c r="F33" t="str">
        <f t="shared" si="0"/>
        <v>kavya</v>
      </c>
      <c r="G33" t="str">
        <f t="shared" si="1"/>
        <v>ya sri</v>
      </c>
      <c r="H33" t="str">
        <f t="shared" si="2"/>
        <v>vya sri</v>
      </c>
      <c r="I33">
        <f t="shared" si="3"/>
        <v>9</v>
      </c>
      <c r="J33" t="str">
        <f t="shared" si="4"/>
        <v>KAVYA SRI</v>
      </c>
      <c r="K33" t="str">
        <f t="shared" si="5"/>
        <v>kavya sri</v>
      </c>
      <c r="L33" t="str">
        <f t="shared" si="6"/>
        <v>Kavya Sri</v>
      </c>
      <c r="M33" t="str">
        <f t="shared" si="7"/>
        <v>Vellore</v>
      </c>
      <c r="N33" t="str">
        <f t="shared" si="8"/>
        <v>Kavya SriVellore</v>
      </c>
      <c r="O33" t="str">
        <f t="shared" si="9"/>
        <v>Kavya Sri-Vellore-TAB-1028</v>
      </c>
      <c r="P33" t="str">
        <f t="shared" si="10"/>
        <v>kavya sri</v>
      </c>
      <c r="Q33" t="str">
        <f t="shared" si="11"/>
        <v>kavyamass</v>
      </c>
      <c r="R33" t="str">
        <f t="shared" si="12"/>
        <v>Vellore</v>
      </c>
      <c r="S33" t="e">
        <f t="shared" si="13"/>
        <v>#VALUE!</v>
      </c>
      <c r="T33" t="e">
        <f t="shared" si="14"/>
        <v>#VALUE!</v>
      </c>
    </row>
    <row r="34" spans="1:20" x14ac:dyDescent="0.3">
      <c r="A34" s="1">
        <v>29</v>
      </c>
      <c r="B34" s="1" t="s">
        <v>107</v>
      </c>
      <c r="C34" s="2" t="s">
        <v>108</v>
      </c>
      <c r="D34" s="1" t="s">
        <v>58</v>
      </c>
      <c r="E34" s="1" t="s">
        <v>109</v>
      </c>
      <c r="F34" t="str">
        <f t="shared" si="0"/>
        <v>praka</v>
      </c>
      <c r="G34" t="str">
        <f t="shared" si="1"/>
        <v>kash r</v>
      </c>
      <c r="H34" t="str">
        <f t="shared" si="2"/>
        <v>akash r</v>
      </c>
      <c r="I34">
        <f t="shared" si="3"/>
        <v>9</v>
      </c>
      <c r="J34" t="str">
        <f t="shared" si="4"/>
        <v>PRAKASH R</v>
      </c>
      <c r="K34" t="str">
        <f t="shared" si="5"/>
        <v>prakash r</v>
      </c>
      <c r="L34" t="str">
        <f t="shared" si="6"/>
        <v>Prakash R</v>
      </c>
      <c r="M34" t="str">
        <f t="shared" si="7"/>
        <v>Tirupur</v>
      </c>
      <c r="N34" t="str">
        <f t="shared" si="8"/>
        <v>Prakash RTirupur</v>
      </c>
      <c r="O34" t="str">
        <f t="shared" si="9"/>
        <v>Prakash R-Tirupur-ACC-1029</v>
      </c>
      <c r="P34" t="str">
        <f t="shared" si="10"/>
        <v>prakash r</v>
      </c>
      <c r="Q34" t="str">
        <f t="shared" si="11"/>
        <v>prakamass</v>
      </c>
      <c r="R34" t="str">
        <f t="shared" si="12"/>
        <v>Tirupur</v>
      </c>
      <c r="S34" t="e">
        <f t="shared" si="13"/>
        <v>#VALUE!</v>
      </c>
      <c r="T34" t="e">
        <f t="shared" si="14"/>
        <v>#VALUE!</v>
      </c>
    </row>
    <row r="35" spans="1:20" x14ac:dyDescent="0.3">
      <c r="A35" s="1">
        <v>30</v>
      </c>
      <c r="B35" s="1" t="s">
        <v>110</v>
      </c>
      <c r="C35" s="2" t="s">
        <v>111</v>
      </c>
      <c r="D35" s="1" t="s">
        <v>62</v>
      </c>
      <c r="E35" s="1" t="s">
        <v>112</v>
      </c>
      <c r="F35" t="str">
        <f t="shared" si="0"/>
        <v>revat</v>
      </c>
      <c r="G35" t="str">
        <f t="shared" si="1"/>
        <v>i devi</v>
      </c>
      <c r="H35" t="str">
        <f t="shared" si="2"/>
        <v>vathi d</v>
      </c>
      <c r="I35">
        <f t="shared" si="3"/>
        <v>12</v>
      </c>
      <c r="J35" t="str">
        <f t="shared" si="4"/>
        <v>REVATHI DEVI</v>
      </c>
      <c r="K35" t="str">
        <f t="shared" si="5"/>
        <v>revathi devi</v>
      </c>
      <c r="L35" t="str">
        <f t="shared" si="6"/>
        <v>Revathi Devi</v>
      </c>
      <c r="M35" t="str">
        <f t="shared" si="7"/>
        <v>Kochi</v>
      </c>
      <c r="N35" t="str">
        <f t="shared" si="8"/>
        <v>Revathi DeviKochi</v>
      </c>
      <c r="O35" t="str">
        <f t="shared" si="9"/>
        <v>Revathi Devi-Kochi-CAM-1030</v>
      </c>
      <c r="P35" t="str">
        <f t="shared" si="10"/>
        <v>revathi devi</v>
      </c>
      <c r="Q35" t="str">
        <f t="shared" si="11"/>
        <v>revatmass</v>
      </c>
      <c r="R35" t="str">
        <f t="shared" si="12"/>
        <v>Kochi</v>
      </c>
      <c r="S35" t="e">
        <f t="shared" si="13"/>
        <v>#VALUE!</v>
      </c>
      <c r="T35" t="e">
        <f t="shared" si="14"/>
        <v>#VALUE!</v>
      </c>
    </row>
  </sheetData>
  <mergeCells count="2">
    <mergeCell ref="A1:D1"/>
    <mergeCell ref="A3:B3"/>
  </mergeCells>
  <hyperlinks>
    <hyperlink ref="C6" r:id="rId1" display="mailto:arun01@gmail.com" xr:uid="{2C352902-80C7-4A76-9D7F-1D9E10FB57D5}"/>
    <hyperlink ref="C7" r:id="rId2" display="mailto:priya.dev@gmail.com" xr:uid="{DBB2E37B-1C5A-4415-BC92-AADA146CC192}"/>
    <hyperlink ref="C8" r:id="rId3" display="mailto:rahul123@yahoo.com" xr:uid="{AF6D0967-C198-4984-8DE0-AF0E16A0864A}"/>
    <hyperlink ref="C9" r:id="rId4" display="mailto:sneha_r@gmail.com" xr:uid="{9ED52E3D-34B1-4348-A82B-53E2AB3574A0}"/>
    <hyperlink ref="C10" r:id="rId5" display="mailto:vikram@gmail.com" xr:uid="{F59B8947-7F79-46AD-910E-967803B0C629}"/>
    <hyperlink ref="C11" r:id="rId6" display="mailto:anjali@yahoo.com" xr:uid="{35B512DE-C8C0-47EF-89DB-84A98261D301}"/>
    <hyperlink ref="C12" r:id="rId7" display="mailto:karthik@outlook.com" xr:uid="{B8D8E5E3-1D5E-4D47-AA81-CD8A1E3267EE}"/>
    <hyperlink ref="C13" r:id="rId8" display="mailto:divya@gmail.com" xr:uid="{BFE56E55-56A3-45E4-A3C7-747E9C788A69}"/>
    <hyperlink ref="C14" r:id="rId9" display="mailto:mohan@yahoo.com" xr:uid="{FA5D6819-5C41-429A-97A0-B0C168F50CC8}"/>
    <hyperlink ref="C15" r:id="rId10" display="mailto:deepak@gmail.com" xr:uid="{DE2CFBB5-E667-45B9-9D68-94A3440B4047}"/>
    <hyperlink ref="C16" r:id="rId11" display="mailto:nisha@gmail.com" xr:uid="{86DB4F27-65BD-4F5D-B249-B91A9619C19C}"/>
    <hyperlink ref="C17" r:id="rId12" display="mailto:aravind@yahoo.com" xr:uid="{A5D96A15-3522-41BA-AA54-849E953A9B95}"/>
    <hyperlink ref="C18" r:id="rId13" display="mailto:swetha@gmail.com" xr:uid="{4D579837-BE92-408D-A418-46161B58BE8A}"/>
    <hyperlink ref="C19" r:id="rId14" display="mailto:hari@outlook.com" xr:uid="{9DEB337E-3936-49C5-A519-898BAECB1506}"/>
    <hyperlink ref="C20" r:id="rId15" display="mailto:pooja@gmail.com" xr:uid="{AA4523C3-E89D-42C6-B0E4-0CD786E69AB8}"/>
    <hyperlink ref="C21" r:id="rId16" display="mailto:rohit@yahoo.com" xr:uid="{6117E64C-2AB3-4F56-BC65-7775ED34CF1F}"/>
    <hyperlink ref="C22" r:id="rId17" display="mailto:keerthi@gmail.com" xr:uid="{14D293D1-8992-4DEB-9B25-8FD0A890E233}"/>
    <hyperlink ref="C23" r:id="rId18" display="mailto:sanjay@gmail.com" xr:uid="{A88A5AAB-1EA0-4175-98CD-BD35F660C6B5}"/>
    <hyperlink ref="C24" r:id="rId19" display="mailto:lavanya@yahoo.com" xr:uid="{51C40588-44C2-4871-A828-99292A5948C1}"/>
    <hyperlink ref="C25" r:id="rId20" display="mailto:naveen@gmail.com" xr:uid="{131829B9-6F70-439A-B340-FE3448684B15}"/>
    <hyperlink ref="C26" r:id="rId21" display="mailto:monika@gmail.com" xr:uid="{62461456-D5B5-4687-AA5E-5231DDA8EADA}"/>
    <hyperlink ref="C27" r:id="rId22" display="mailto:harshit@yahoo.com" xr:uid="{891C3A36-B926-4022-88CE-8FAC2946FD0D}"/>
    <hyperlink ref="C28" r:id="rId23" display="mailto:ramesh@gmail.com" xr:uid="{682AC10F-3CBA-450C-9BEF-16F8E7E934C0}"/>
    <hyperlink ref="C29" r:id="rId24" display="mailto:sruthi@outlook.com" xr:uid="{94F7301F-261C-4801-89A1-47DC4DC62382}"/>
    <hyperlink ref="C30" r:id="rId25" display="mailto:dhanush@gmail.com" xr:uid="{188708ED-705D-4294-8C66-C873EF45399C}"/>
    <hyperlink ref="C31" r:id="rId26" display="mailto:meena@yahoo.com" xr:uid="{50EA54B6-123B-4A4A-B10E-7B8CB0424152}"/>
    <hyperlink ref="C32" r:id="rId27" display="mailto:ajay@gmail.com" xr:uid="{9B5A7992-88C0-4CB9-AD87-B064F5C4BA90}"/>
    <hyperlink ref="C33" r:id="rId28" display="mailto:kavya@yahoo.com" xr:uid="{C41D01E3-4086-46BB-A0A5-090C4029B419}"/>
    <hyperlink ref="C34" r:id="rId29" display="mailto:prakash@gmail.com" xr:uid="{AD4C2DBB-52B0-4B9C-A911-A0D1831EC2DC}"/>
    <hyperlink ref="C35" r:id="rId30" display="mailto:revathi@outlook.com" xr:uid="{8335662D-F65A-4823-B569-DA56E63E17C7}"/>
  </hyperlinks>
  <pageMargins left="0.7" right="0.7" top="0.75" bottom="0.75" header="0.3" footer="0.3"/>
  <pageSetup paperSize="9"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hurbert daniel</dc:creator>
  <cp:lastModifiedBy>hurbert daniel</cp:lastModifiedBy>
  <dcterms:created xsi:type="dcterms:W3CDTF">2026-05-13T01:33:57Z</dcterms:created>
  <dcterms:modified xsi:type="dcterms:W3CDTF">2026-05-14T10:53:19Z</dcterms:modified>
</cp:coreProperties>
</file>